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pa\Documents\EXOR Pitch\Non-Python\"/>
    </mc:Choice>
  </mc:AlternateContent>
  <xr:revisionPtr revIDLastSave="0" documentId="13_ncr:1_{24A464C6-0B60-4099-9AC3-6B6A39BB30A5}" xr6:coauthVersionLast="47" xr6:coauthVersionMax="47" xr10:uidLastSave="{00000000-0000-0000-0000-000000000000}"/>
  <bookViews>
    <workbookView xWindow="-98" yWindow="-98" windowWidth="21795" windowHeight="14235" activeTab="1" xr2:uid="{ABBA4983-385E-4B6E-B1BC-F69DDEE7D1D1}"/>
  </bookViews>
  <sheets>
    <sheet name="NAV" sheetId="4" r:id="rId1"/>
    <sheet name="NAV History" sheetId="5" r:id="rId2"/>
    <sheet name="Income Statement" sheetId="1" r:id="rId3"/>
    <sheet name="Balance Sheet" sheetId="2" r:id="rId4"/>
    <sheet name="Cash Flow Statement" sheetId="3" r:id="rId5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2" i="5" l="1"/>
  <c r="E22" i="5"/>
  <c r="F2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3" i="5"/>
  <c r="F67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26" i="5"/>
  <c r="D47" i="4"/>
  <c r="F47" i="4"/>
  <c r="F48" i="4"/>
  <c r="F49" i="4"/>
  <c r="F50" i="4"/>
  <c r="F51" i="4"/>
  <c r="F46" i="4"/>
  <c r="E61" i="4"/>
  <c r="D70" i="4"/>
  <c r="E67" i="5"/>
  <c r="D51" i="4"/>
  <c r="D49" i="4"/>
  <c r="D67" i="5"/>
  <c r="E66" i="5"/>
  <c r="D66" i="5"/>
  <c r="D60" i="4" l="1"/>
  <c r="D50" i="4"/>
  <c r="D48" i="4"/>
  <c r="D46" i="4"/>
  <c r="D45" i="4" l="1"/>
  <c r="D61" i="4" l="1"/>
  <c r="E45" i="4" s="1"/>
  <c r="D66" i="4" l="1"/>
  <c r="D68" i="4" s="1"/>
  <c r="E55" i="4"/>
  <c r="E52" i="4"/>
  <c r="E56" i="4"/>
  <c r="E57" i="4"/>
  <c r="E58" i="4"/>
  <c r="E46" i="4"/>
  <c r="E47" i="4"/>
  <c r="E59" i="4"/>
  <c r="E49" i="4"/>
  <c r="E48" i="4"/>
  <c r="E50" i="4"/>
  <c r="E51" i="4"/>
  <c r="E53" i="4"/>
  <c r="E54" i="4"/>
  <c r="E60" i="4"/>
</calcChain>
</file>

<file path=xl/sharedStrings.xml><?xml version="1.0" encoding="utf-8"?>
<sst xmlns="http://schemas.openxmlformats.org/spreadsheetml/2006/main" count="300" uniqueCount="202">
  <si>
    <t>Total Revenues</t>
  </si>
  <si>
    <t>   % Change YoY </t>
  </si>
  <si>
    <t>Cost of Goods Sold </t>
  </si>
  <si>
    <t>Gross Profit </t>
  </si>
  <si>
    <t>   % Gross Margins </t>
  </si>
  <si>
    <t>Selling General &amp; Admin Expenses </t>
  </si>
  <si>
    <t>   % of Revenue</t>
  </si>
  <si>
    <t>R&amp;D Expenses </t>
  </si>
  <si>
    <t>Salaries And Other Employee Benefits</t>
  </si>
  <si>
    <t>Other Operating Expenses</t>
  </si>
  <si>
    <t>Total Operating Expenses</t>
  </si>
  <si>
    <t>Operating Income </t>
  </si>
  <si>
    <t>   % Operating Margins </t>
  </si>
  <si>
    <t>Interest Expense </t>
  </si>
  <si>
    <t>Other Non Operating Income (Expenses)</t>
  </si>
  <si>
    <t>Merger &amp; Restructuring Expense</t>
  </si>
  <si>
    <t>Gain On Sale Of Security</t>
  </si>
  <si>
    <t>Impairment Of Capital Assets</t>
  </si>
  <si>
    <t>Write Off</t>
  </si>
  <si>
    <t>Other Unusual Items</t>
  </si>
  <si>
    <t>EBT Incl. Unusual Items</t>
  </si>
  <si>
    <t>Income Tax Expense </t>
  </si>
  <si>
    <t>   Effective Tax Rate % </t>
  </si>
  <si>
    <t>Earnings From Continuing Operations</t>
  </si>
  <si>
    <t>Earnings Of Discontinued Operations</t>
  </si>
  <si>
    <t>Minority Interest</t>
  </si>
  <si>
    <t>Other Extraordinary Items</t>
  </si>
  <si>
    <t>Net Income to Company</t>
  </si>
  <si>
    <t>Other Items</t>
  </si>
  <si>
    <t>Net Income to Common</t>
  </si>
  <si>
    <t>   % Net Income Margins</t>
  </si>
  <si>
    <t>Weighted Average Diluted Shares Outstanding</t>
  </si>
  <si>
    <t>Diluted EPS</t>
  </si>
  <si>
    <t>Supplementary Data:</t>
  </si>
  <si>
    <t>Basic EPS</t>
  </si>
  <si>
    <t>Weighted Average Basic Shares Outstanding</t>
  </si>
  <si>
    <t>Normalized Diluted EPS</t>
  </si>
  <si>
    <t xml:space="preserve">EXOR Income Statement </t>
  </si>
  <si>
    <t>($ in millions)</t>
  </si>
  <si>
    <t>EXOR Statement of Financial Position</t>
  </si>
  <si>
    <t>($ million)</t>
  </si>
  <si>
    <t>Balance Sheet</t>
  </si>
  <si>
    <t>Cash And Equivalents </t>
  </si>
  <si>
    <t>Short Term Investments</t>
  </si>
  <si>
    <t>Total Cash And Short Term Investments</t>
  </si>
  <si>
    <t>Accounts Receivable </t>
  </si>
  <si>
    <t>Taxes Receivable</t>
  </si>
  <si>
    <t>Other Receivables</t>
  </si>
  <si>
    <t>Total Receivables </t>
  </si>
  <si>
    <t>Raw Materials</t>
  </si>
  <si>
    <t>Work In Process</t>
  </si>
  <si>
    <t>Finished Goods</t>
  </si>
  <si>
    <t>Other Inventories</t>
  </si>
  <si>
    <t>Inventories Adjustments</t>
  </si>
  <si>
    <t>Total Inventory</t>
  </si>
  <si>
    <t>Restricted Cash </t>
  </si>
  <si>
    <t>Assets Held For Sale Current</t>
  </si>
  <si>
    <t>Other Current Assets</t>
  </si>
  <si>
    <t>Total Current Assets</t>
  </si>
  <si>
    <t>Gross Property Plant And Equipment </t>
  </si>
  <si>
    <t>Accumulated Depreciation </t>
  </si>
  <si>
    <t>Net Property Plant And Equipment</t>
  </si>
  <si>
    <t>Long-term Investments</t>
  </si>
  <si>
    <t>Investments in Financial Assets</t>
  </si>
  <si>
    <t>Other Investments</t>
  </si>
  <si>
    <t>Goodwill </t>
  </si>
  <si>
    <t>Other Intangibles </t>
  </si>
  <si>
    <t>Deferred Tax Assets Long-Term</t>
  </si>
  <si>
    <t>Non-Current Other Receivables</t>
  </si>
  <si>
    <t>Defined Pension Benefit</t>
  </si>
  <si>
    <t>Other Non-Current Assets</t>
  </si>
  <si>
    <t>Total Assets</t>
  </si>
  <si>
    <t>Accounts Payable </t>
  </si>
  <si>
    <t>Other Payable</t>
  </si>
  <si>
    <t>Total Tax Payable</t>
  </si>
  <si>
    <t>Payables</t>
  </si>
  <si>
    <t>Current Debt</t>
  </si>
  <si>
    <t>Current Portion of Capital Lease Obligations</t>
  </si>
  <si>
    <t>Deferred Tax Liability Current </t>
  </si>
  <si>
    <t>Current Provisions</t>
  </si>
  <si>
    <t>Pension &amp; Other Employee Liabilities</t>
  </si>
  <si>
    <t>Other Current Liabilities</t>
  </si>
  <si>
    <t>Total Current Liabilities</t>
  </si>
  <si>
    <t>Long-Term Debt</t>
  </si>
  <si>
    <t>Capital Leases</t>
  </si>
  <si>
    <t>Long-Term Debt and Capital Leases</t>
  </si>
  <si>
    <t>Pension &amp; Other Post Retirement Benefits</t>
  </si>
  <si>
    <t>Deferred Tax Liability Non Current</t>
  </si>
  <si>
    <t>Derivative Product Liabilities</t>
  </si>
  <si>
    <t>Trade &amp; Other Payables</t>
  </si>
  <si>
    <t>Provisions Non-Current</t>
  </si>
  <si>
    <t>Non-Current Other Financial Liabilities</t>
  </si>
  <si>
    <t>Other Non Current Liabilities</t>
  </si>
  <si>
    <t>Total Liabilities</t>
  </si>
  <si>
    <t>Common Stock </t>
  </si>
  <si>
    <t>Treasury Stock </t>
  </si>
  <si>
    <t>Other Equity Items</t>
  </si>
  <si>
    <t>Total Common Equity</t>
  </si>
  <si>
    <t>Total Equity</t>
  </si>
  <si>
    <t>Total Liabilities And Equity</t>
  </si>
  <si>
    <t>Cash Flow</t>
  </si>
  <si>
    <t>Net Income</t>
  </si>
  <si>
    <t>Depreciation</t>
  </si>
  <si>
    <t>Total Depreciation &amp; Amortization</t>
  </si>
  <si>
    <t>(Gain) Loss on Sale of Investments</t>
  </si>
  <si>
    <t>(Gain) Loss From Sale Of Asset</t>
  </si>
  <si>
    <t>Net Foreign Currency Gain or Loss</t>
  </si>
  <si>
    <t>Stock-Based Compensation</t>
  </si>
  <si>
    <t>Deferred Taxes</t>
  </si>
  <si>
    <t>Provision for Loan Losses</t>
  </si>
  <si>
    <t>Change in Other Current Assets</t>
  </si>
  <si>
    <t>Change in Other Current Liabilities</t>
  </si>
  <si>
    <t>Other CFO Items</t>
  </si>
  <si>
    <t>Cash from Operations</t>
  </si>
  <si>
    <t>Memo: Change in Net Working Capital</t>
  </si>
  <si>
    <t>Capital Expenditure </t>
  </si>
  <si>
    <t>Sale of Property, Plant, and Equipment </t>
  </si>
  <si>
    <t>Net Sale (Purchase) of PP&amp;E</t>
  </si>
  <si>
    <t>Cash Acquisitions </t>
  </si>
  <si>
    <t>Divestitures </t>
  </si>
  <si>
    <t>Net Sale (Purchase) of Business</t>
  </si>
  <si>
    <t>Investment in Marketable and Equity Securities</t>
  </si>
  <si>
    <t>Other CFI Items</t>
  </si>
  <si>
    <t>Cash from Investing</t>
  </si>
  <si>
    <t>Long-Term Debt Issuance</t>
  </si>
  <si>
    <t>Total Debt Issued</t>
  </si>
  <si>
    <t>Long-Term Debt Payments</t>
  </si>
  <si>
    <t>Total Debt Repaid</t>
  </si>
  <si>
    <t>Issuance of Common Stock</t>
  </si>
  <si>
    <t>Repurchase of Common Stock</t>
  </si>
  <si>
    <t>Repurchase of Preferred Stock</t>
  </si>
  <si>
    <t>Common Dividends Paid </t>
  </si>
  <si>
    <t>Total Dividends Paid</t>
  </si>
  <si>
    <t>Other Financing Activities</t>
  </si>
  <si>
    <t>Other CFF Items</t>
  </si>
  <si>
    <t>Cash from Financing</t>
  </si>
  <si>
    <t>Changes In Cash</t>
  </si>
  <si>
    <t>Foreign Exchange Rate Adjustments </t>
  </si>
  <si>
    <t>Cash and Cash Equivalents, Beginning of Period</t>
  </si>
  <si>
    <t>Cash and Cash Equivalents, End of Period</t>
  </si>
  <si>
    <t>Free Cash Flow </t>
  </si>
  <si>
    <t>   % Free Cash Flow Margins</t>
  </si>
  <si>
    <t>Net Change in Cash (As Reported)</t>
  </si>
  <si>
    <t>Cash Flow from Operations before NWC</t>
  </si>
  <si>
    <t>EXOR CFS</t>
  </si>
  <si>
    <t>($ in milion)</t>
  </si>
  <si>
    <t>Income statement</t>
  </si>
  <si>
    <t>€ million</t>
  </si>
  <si>
    <t>% of Gross Asset Value</t>
  </si>
  <si>
    <t>Companies</t>
  </si>
  <si>
    <t>Public Company Stocks</t>
  </si>
  <si>
    <t>Ferrari</t>
  </si>
  <si>
    <t>CNH</t>
  </si>
  <si>
    <t>Stellantis</t>
  </si>
  <si>
    <t>Philips</t>
  </si>
  <si>
    <t>Iveco</t>
  </si>
  <si>
    <t>Juventus</t>
  </si>
  <si>
    <t>Clarivate</t>
  </si>
  <si>
    <t>Private Company Stakes</t>
  </si>
  <si>
    <t>Institut Mérieux</t>
  </si>
  <si>
    <t>Via Transportation</t>
  </si>
  <si>
    <t>Christian Loboutin</t>
  </si>
  <si>
    <t>The Economist Group</t>
  </si>
  <si>
    <t>Welltec</t>
  </si>
  <si>
    <t>TagHolding (TagEnergy)</t>
  </si>
  <si>
    <t>Nuo</t>
  </si>
  <si>
    <t>GEDI</t>
  </si>
  <si>
    <t>Lifenet</t>
  </si>
  <si>
    <t>Casavo</t>
  </si>
  <si>
    <t>Shang Xia</t>
  </si>
  <si>
    <t>-</t>
  </si>
  <si>
    <t>Lingotto</t>
  </si>
  <si>
    <t>Others</t>
  </si>
  <si>
    <t>Funds managed by third parties</t>
  </si>
  <si>
    <t>Listed Securities</t>
  </si>
  <si>
    <t>Unlisted Securities</t>
  </si>
  <si>
    <t>Other assets</t>
  </si>
  <si>
    <t>Cash &amp; Cash Equivalents</t>
  </si>
  <si>
    <t>Gross Asset Value</t>
  </si>
  <si>
    <t>Gross Debt</t>
  </si>
  <si>
    <t>Notes and bank debt</t>
  </si>
  <si>
    <t>Financial liabilities</t>
  </si>
  <si>
    <t>Other liabilities</t>
  </si>
  <si>
    <t>Net Asset Value (NAV)</t>
  </si>
  <si>
    <t>NAV per Share in Euro</t>
  </si>
  <si>
    <t>Number of Shares</t>
  </si>
  <si>
    <t>NAV Breakdown 30 June 2025</t>
  </si>
  <si>
    <t>NAV Breakdown Jan 2026 (Estimated)</t>
  </si>
  <si>
    <t>Share Price</t>
  </si>
  <si>
    <t>Share Price (EUR)</t>
  </si>
  <si>
    <r>
      <t>Value (</t>
    </r>
    <r>
      <rPr>
        <b/>
        <sz val="10"/>
        <color rgb="FF365F91"/>
        <rFont val="Open Sans"/>
        <family val="2"/>
      </rPr>
      <t>£M</t>
    </r>
    <r>
      <rPr>
        <b/>
        <sz val="10"/>
        <color rgb="FF365F91"/>
        <rFont val="Calibri"/>
        <family val="2"/>
      </rPr>
      <t>n)</t>
    </r>
  </si>
  <si>
    <t>Private Company Stakes (Unlisted)</t>
  </si>
  <si>
    <t>Iveco cash proceeds</t>
  </si>
  <si>
    <t>Value (£mn)</t>
  </si>
  <si>
    <t>Current Number of Shares</t>
  </si>
  <si>
    <t>Date</t>
  </si>
  <si>
    <t>NAV/s</t>
  </si>
  <si>
    <t>SP growth</t>
  </si>
  <si>
    <t>Nav growth</t>
  </si>
  <si>
    <t>Discount</t>
  </si>
  <si>
    <t>current discount</t>
  </si>
  <si>
    <t>% of NAV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</si>
</sst>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0.0%"/>
  </numFmts>
  <fonts count="40" x14ac:knownFonts="1">
    <font>
      <sz val="10"/>
      <color theme="1"/>
      <name val="Open sans"/>
      <family val="2"/>
    </font>
    <font>
      <sz val="6"/>
      <color theme="1"/>
      <name val="Calibri"/>
      <family val="2"/>
    </font>
    <font>
      <sz val="8"/>
      <color theme="1"/>
      <name val="Calibri"/>
      <family val="2"/>
    </font>
    <font>
      <sz val="8"/>
      <color theme="1"/>
      <name val="Open sans"/>
      <family val="2"/>
    </font>
    <font>
      <b/>
      <sz val="6"/>
      <color rgb="FFFFFFFF"/>
      <name val="Calibri"/>
      <family val="2"/>
    </font>
    <font>
      <b/>
      <sz val="6"/>
      <color theme="1"/>
      <name val="Calibri"/>
      <family val="2"/>
    </font>
    <font>
      <b/>
      <sz val="6"/>
      <color rgb="FF000000"/>
      <name val="Calibri"/>
      <family val="2"/>
    </font>
    <font>
      <b/>
      <i/>
      <sz val="6"/>
      <color theme="1"/>
      <name val="Calibri"/>
      <family val="2"/>
    </font>
    <font>
      <b/>
      <i/>
      <sz val="6"/>
      <color rgb="FF000000"/>
      <name val="Calibri"/>
      <family val="2"/>
    </font>
    <font>
      <b/>
      <i/>
      <sz val="6"/>
      <color rgb="FFF44336"/>
      <name val="Calibri"/>
      <family val="2"/>
    </font>
    <font>
      <sz val="6"/>
      <color rgb="FFF44336"/>
      <name val="Calibri"/>
      <family val="2"/>
    </font>
    <font>
      <sz val="6"/>
      <color rgb="FF000000"/>
      <name val="Calibri"/>
      <family val="2"/>
    </font>
    <font>
      <i/>
      <sz val="6"/>
      <color theme="1"/>
      <name val="Calibri"/>
      <family val="2"/>
    </font>
    <font>
      <i/>
      <sz val="6"/>
      <color rgb="FFF44336"/>
      <name val="Calibri"/>
      <family val="2"/>
    </font>
    <font>
      <i/>
      <sz val="6"/>
      <color rgb="FF000000"/>
      <name val="Calibri"/>
      <family val="2"/>
    </font>
    <font>
      <b/>
      <sz val="6"/>
      <color rgb="FFF44336"/>
      <name val="Calibri"/>
      <family val="2"/>
    </font>
    <font>
      <sz val="10"/>
      <color theme="1"/>
      <name val="Calibri"/>
      <family val="2"/>
    </font>
    <font>
      <sz val="7"/>
      <color theme="1"/>
      <name val="Calibri"/>
      <family val="2"/>
    </font>
    <font>
      <b/>
      <sz val="7"/>
      <color rgb="FFFFFFFF"/>
      <name val="Calibri"/>
      <family val="2"/>
    </font>
    <font>
      <sz val="7"/>
      <color rgb="FF000000"/>
      <name val="Calibri"/>
      <family val="2"/>
    </font>
    <font>
      <b/>
      <sz val="7"/>
      <color theme="1"/>
      <name val="Calibri"/>
      <family val="2"/>
    </font>
    <font>
      <b/>
      <sz val="7"/>
      <color rgb="FF000000"/>
      <name val="Calibri"/>
      <family val="2"/>
    </font>
    <font>
      <sz val="7"/>
      <color rgb="FFF44336"/>
      <name val="Calibri"/>
      <family val="2"/>
    </font>
    <font>
      <sz val="9"/>
      <color theme="1"/>
      <name val="Calibri"/>
      <family val="2"/>
    </font>
    <font>
      <b/>
      <sz val="7"/>
      <color rgb="FFF44336"/>
      <name val="Calibri"/>
      <family val="2"/>
    </font>
    <font>
      <i/>
      <sz val="7"/>
      <color theme="1"/>
      <name val="Calibri"/>
      <family val="2"/>
    </font>
    <font>
      <i/>
      <sz val="7"/>
      <color rgb="FF000000"/>
      <name val="Calibri"/>
      <family val="2"/>
    </font>
    <font>
      <i/>
      <sz val="7"/>
      <color rgb="FFF44336"/>
      <name val="Calibri"/>
      <family val="2"/>
    </font>
    <font>
      <b/>
      <i/>
      <sz val="7"/>
      <color theme="1"/>
      <name val="Calibri"/>
      <family val="2"/>
    </font>
    <font>
      <b/>
      <i/>
      <sz val="7"/>
      <color rgb="FFF44336"/>
      <name val="Calibri"/>
      <family val="2"/>
    </font>
    <font>
      <b/>
      <i/>
      <sz val="7"/>
      <color rgb="FF000000"/>
      <name val="Calibri"/>
      <family val="2"/>
    </font>
    <font>
      <b/>
      <sz val="7"/>
      <color theme="0"/>
      <name val="Calibri"/>
      <family val="2"/>
    </font>
    <font>
      <b/>
      <sz val="10"/>
      <color theme="1"/>
      <name val="Calibri"/>
      <family val="2"/>
    </font>
    <font>
      <b/>
      <sz val="12"/>
      <color theme="1"/>
      <name val="Calibri"/>
      <family val="2"/>
    </font>
    <font>
      <b/>
      <i/>
      <sz val="10"/>
      <color theme="1"/>
      <name val="Calibri"/>
      <family val="2"/>
    </font>
    <font>
      <b/>
      <sz val="10"/>
      <color rgb="FF365F91"/>
      <name val="Calibri"/>
      <family val="2"/>
    </font>
    <font>
      <sz val="10"/>
      <color rgb="FF365F91"/>
      <name val="Calibri"/>
      <family val="2"/>
    </font>
    <font>
      <b/>
      <sz val="10"/>
      <color theme="3" tint="0.249977111117893"/>
      <name val="Calibri"/>
      <family val="2"/>
    </font>
    <font>
      <b/>
      <sz val="10"/>
      <color rgb="FF365F91"/>
      <name val="Open Sans"/>
      <family val="2"/>
    </font>
    <font>
      <sz val="10"/>
      <color theme="1"/>
      <name val="Open sans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3" tint="0.499984740745262"/>
        <bgColor indexed="64"/>
      </patternFill>
    </fill>
  </fills>
  <borders count="29">
    <border>
      <left/>
      <right/>
      <top/>
      <bottom/>
      <diagonal/>
    </border>
    <border>
      <left/>
      <right/>
      <top style="thin">
        <color theme="2" tint="-9.9978637043366805E-2"/>
      </top>
      <bottom/>
      <diagonal/>
    </border>
    <border>
      <left style="thin">
        <color theme="2" tint="-9.9978637043366805E-2"/>
      </left>
      <right/>
      <top/>
      <bottom/>
      <diagonal/>
    </border>
    <border>
      <left/>
      <right style="thin">
        <color theme="2" tint="-9.9978637043366805E-2"/>
      </right>
      <top/>
      <bottom/>
      <diagonal/>
    </border>
    <border>
      <left style="thin">
        <color theme="2" tint="-9.9978637043366805E-2"/>
      </left>
      <right/>
      <top/>
      <bottom style="thin">
        <color theme="2" tint="-9.9978637043366805E-2"/>
      </bottom>
      <diagonal/>
    </border>
    <border>
      <left/>
      <right/>
      <top/>
      <bottom style="thin">
        <color theme="2" tint="-9.9978637043366805E-2"/>
      </bottom>
      <diagonal/>
    </border>
    <border>
      <left/>
      <right style="thin">
        <color theme="2" tint="-9.9978637043366805E-2"/>
      </right>
      <top/>
      <bottom style="thin">
        <color theme="2" tint="-9.9978637043366805E-2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B6B6B6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B6B6B6"/>
      </top>
      <bottom style="medium">
        <color rgb="FFB6B6B6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 style="medium">
        <color rgb="FFCCCCCC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theme="2" tint="-9.9978637043366805E-2"/>
      </right>
      <top style="medium">
        <color rgb="FFCCCCCC"/>
      </top>
      <bottom/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indexed="64"/>
      </top>
      <bottom style="medium">
        <color theme="2" tint="-9.9978637043366805E-2"/>
      </bottom>
      <diagonal/>
    </border>
    <border>
      <left style="medium">
        <color rgb="FFCCCCCC"/>
      </left>
      <right style="medium">
        <color rgb="FFCCCCCC"/>
      </right>
      <top style="medium">
        <color theme="2" tint="-9.9978637043366805E-2"/>
      </top>
      <bottom/>
      <diagonal/>
    </border>
    <border>
      <left style="medium">
        <color rgb="FFCCCCCC"/>
      </left>
      <right style="medium">
        <color rgb="FFCCCCCC"/>
      </right>
      <top style="medium">
        <color theme="2" tint="-9.9978637043366805E-2"/>
      </top>
      <bottom style="medium">
        <color theme="2" tint="-9.9978637043366805E-2"/>
      </bottom>
      <diagonal/>
    </border>
    <border>
      <left style="medium">
        <color theme="2" tint="-9.9978637043366805E-2"/>
      </left>
      <right style="medium">
        <color rgb="FFCCCCCC"/>
      </right>
      <top style="medium">
        <color theme="2" tint="-9.9978637043366805E-2"/>
      </top>
      <bottom/>
      <diagonal/>
    </border>
    <border>
      <left style="medium">
        <color theme="2" tint="-9.9978637043366805E-2"/>
      </left>
      <right style="medium">
        <color theme="2" tint="-9.9978637043366805E-2"/>
      </right>
      <top style="medium">
        <color theme="2" tint="-9.9978637043366805E-2"/>
      </top>
      <bottom style="medium">
        <color theme="2" tint="-9.9978637043366805E-2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theme="2" tint="-9.9978637043366805E-2"/>
      </left>
      <right/>
      <top/>
      <bottom/>
      <diagonal/>
    </border>
    <border>
      <left style="medium">
        <color rgb="FFCCCCCC"/>
      </left>
      <right style="medium">
        <color theme="2" tint="-9.9978637043366805E-2"/>
      </right>
      <top style="medium">
        <color rgb="FF000000"/>
      </top>
      <bottom style="medium">
        <color rgb="FF000000"/>
      </bottom>
      <diagonal/>
    </border>
    <border>
      <left style="medium">
        <color theme="2" tint="-9.9978637043366805E-2"/>
      </left>
      <right style="medium">
        <color theme="2" tint="-9.9978637043366805E-2"/>
      </right>
      <top/>
      <bottom/>
      <diagonal/>
    </border>
  </borders>
  <cellStyleXfs count="3">
    <xf numFmtId="0" fontId="0" fillId="0" borderId="0"/>
    <xf numFmtId="43" fontId="39" fillId="0" borderId="0" applyFont="0" applyFill="0" applyBorder="0" applyAlignment="0" applyProtection="0"/>
    <xf numFmtId="9" fontId="39" fillId="0" borderId="0" applyFont="0" applyFill="0" applyBorder="0" applyAlignment="0" applyProtection="0"/>
  </cellStyleXfs>
  <cellXfs count="137">
    <xf numFmtId="0" fontId="0" fillId="0" borderId="0" xfId="0"/>
    <xf numFmtId="0" fontId="2" fillId="0" borderId="0" xfId="0" applyFont="1"/>
    <xf numFmtId="0" fontId="3" fillId="0" borderId="0" xfId="0" applyFont="1"/>
    <xf numFmtId="0" fontId="1" fillId="2" borderId="0" xfId="0" applyFont="1" applyFill="1"/>
    <xf numFmtId="0" fontId="5" fillId="2" borderId="0" xfId="0" applyFont="1" applyFill="1" applyAlignment="1">
      <alignment horizontal="left" vertical="center"/>
    </xf>
    <xf numFmtId="4" fontId="6" fillId="2" borderId="0" xfId="0" applyNumberFormat="1" applyFont="1" applyFill="1" applyAlignment="1">
      <alignment horizontal="right" vertical="center"/>
    </xf>
    <xf numFmtId="0" fontId="7" fillId="2" borderId="0" xfId="0" applyFont="1" applyFill="1" applyAlignment="1">
      <alignment horizontal="left" vertical="center"/>
    </xf>
    <xf numFmtId="10" fontId="8" fillId="2" borderId="0" xfId="0" applyNumberFormat="1" applyFont="1" applyFill="1" applyAlignment="1">
      <alignment horizontal="right" vertical="center"/>
    </xf>
    <xf numFmtId="10" fontId="9" fillId="2" borderId="0" xfId="0" applyNumberFormat="1" applyFont="1" applyFill="1" applyAlignment="1">
      <alignment horizontal="right" vertical="center"/>
    </xf>
    <xf numFmtId="0" fontId="1" fillId="2" borderId="0" xfId="0" applyFont="1" applyFill="1" applyAlignment="1">
      <alignment horizontal="left" vertical="center"/>
    </xf>
    <xf numFmtId="4" fontId="10" fillId="2" borderId="0" xfId="0" applyNumberFormat="1" applyFont="1" applyFill="1" applyAlignment="1">
      <alignment horizontal="right" vertical="center"/>
    </xf>
    <xf numFmtId="0" fontId="11" fillId="2" borderId="0" xfId="0" applyFont="1" applyFill="1" applyAlignment="1">
      <alignment horizontal="right" vertical="center"/>
    </xf>
    <xf numFmtId="0" fontId="6" fillId="2" borderId="0" xfId="0" applyFont="1" applyFill="1" applyAlignment="1">
      <alignment horizontal="right" vertical="center"/>
    </xf>
    <xf numFmtId="0" fontId="8" fillId="2" borderId="0" xfId="0" applyFont="1" applyFill="1" applyAlignment="1">
      <alignment horizontal="right" vertical="center"/>
    </xf>
    <xf numFmtId="0" fontId="10" fillId="2" borderId="0" xfId="0" applyFont="1" applyFill="1" applyAlignment="1">
      <alignment horizontal="right" vertical="center"/>
    </xf>
    <xf numFmtId="0" fontId="12" fillId="2" borderId="0" xfId="0" applyFont="1" applyFill="1" applyAlignment="1">
      <alignment horizontal="left" vertical="center"/>
    </xf>
    <xf numFmtId="10" fontId="13" fillId="2" borderId="0" xfId="0" applyNumberFormat="1" applyFont="1" applyFill="1" applyAlignment="1">
      <alignment horizontal="right" vertical="center"/>
    </xf>
    <xf numFmtId="10" fontId="14" fillId="2" borderId="0" xfId="0" applyNumberFormat="1" applyFont="1" applyFill="1" applyAlignment="1">
      <alignment horizontal="right" vertical="center"/>
    </xf>
    <xf numFmtId="0" fontId="14" fillId="2" borderId="0" xfId="0" applyFont="1" applyFill="1" applyAlignment="1">
      <alignment horizontal="right" vertical="center"/>
    </xf>
    <xf numFmtId="4" fontId="11" fillId="2" borderId="0" xfId="0" applyNumberFormat="1" applyFont="1" applyFill="1" applyAlignment="1">
      <alignment horizontal="right" vertical="center"/>
    </xf>
    <xf numFmtId="4" fontId="15" fillId="2" borderId="0" xfId="0" applyNumberFormat="1" applyFont="1" applyFill="1" applyAlignment="1">
      <alignment horizontal="right" vertical="center"/>
    </xf>
    <xf numFmtId="0" fontId="15" fillId="2" borderId="0" xfId="0" applyFont="1" applyFill="1" applyAlignment="1">
      <alignment horizontal="right" vertical="center"/>
    </xf>
    <xf numFmtId="10" fontId="11" fillId="2" borderId="0" xfId="0" applyNumberFormat="1" applyFont="1" applyFill="1" applyAlignment="1">
      <alignment horizontal="right" vertical="center"/>
    </xf>
    <xf numFmtId="10" fontId="10" fillId="2" borderId="0" xfId="0" applyNumberFormat="1" applyFont="1" applyFill="1" applyAlignment="1">
      <alignment horizontal="right" vertical="center"/>
    </xf>
    <xf numFmtId="0" fontId="1" fillId="2" borderId="1" xfId="0" applyFont="1" applyFill="1" applyBorder="1"/>
    <xf numFmtId="14" fontId="4" fillId="3" borderId="0" xfId="0" applyNumberFormat="1" applyFont="1" applyFill="1" applyAlignment="1">
      <alignment horizontal="righ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1" fillId="2" borderId="7" xfId="0" applyFont="1" applyFill="1" applyBorder="1" applyAlignment="1">
      <alignment horizontal="left" vertical="center"/>
    </xf>
    <xf numFmtId="0" fontId="11" fillId="2" borderId="7" xfId="0" applyFont="1" applyFill="1" applyBorder="1" applyAlignment="1">
      <alignment horizontal="right" vertical="center"/>
    </xf>
    <xf numFmtId="0" fontId="12" fillId="2" borderId="7" xfId="0" applyFont="1" applyFill="1" applyBorder="1" applyAlignment="1">
      <alignment horizontal="left" vertical="center"/>
    </xf>
    <xf numFmtId="0" fontId="14" fillId="2" borderId="7" xfId="0" applyFont="1" applyFill="1" applyBorder="1" applyAlignment="1">
      <alignment horizontal="right" vertical="center"/>
    </xf>
    <xf numFmtId="10" fontId="14" fillId="2" borderId="7" xfId="0" applyNumberFormat="1" applyFont="1" applyFill="1" applyBorder="1" applyAlignment="1">
      <alignment horizontal="right" vertical="center"/>
    </xf>
    <xf numFmtId="10" fontId="11" fillId="2" borderId="7" xfId="0" applyNumberFormat="1" applyFont="1" applyFill="1" applyBorder="1" applyAlignment="1">
      <alignment horizontal="right" vertical="center"/>
    </xf>
    <xf numFmtId="4" fontId="11" fillId="2" borderId="7" xfId="0" applyNumberFormat="1" applyFont="1" applyFill="1" applyBorder="1" applyAlignment="1">
      <alignment horizontal="right" vertical="center"/>
    </xf>
    <xf numFmtId="10" fontId="13" fillId="2" borderId="7" xfId="0" applyNumberFormat="1" applyFont="1" applyFill="1" applyBorder="1" applyAlignment="1">
      <alignment horizontal="right" vertical="center"/>
    </xf>
    <xf numFmtId="0" fontId="7" fillId="2" borderId="7" xfId="0" applyFont="1" applyFill="1" applyBorder="1" applyAlignment="1">
      <alignment horizontal="left" vertical="center"/>
    </xf>
    <xf numFmtId="0" fontId="1" fillId="2" borderId="7" xfId="0" applyFont="1" applyFill="1" applyBorder="1"/>
    <xf numFmtId="0" fontId="5" fillId="2" borderId="7" xfId="0" applyFont="1" applyFill="1" applyBorder="1" applyAlignment="1">
      <alignment horizontal="left" vertical="center"/>
    </xf>
    <xf numFmtId="0" fontId="6" fillId="2" borderId="7" xfId="0" applyFont="1" applyFill="1" applyBorder="1" applyAlignment="1">
      <alignment horizontal="right" vertical="center"/>
    </xf>
    <xf numFmtId="4" fontId="6" fillId="2" borderId="7" xfId="0" applyNumberFormat="1" applyFont="1" applyFill="1" applyBorder="1" applyAlignment="1">
      <alignment horizontal="right" vertical="center"/>
    </xf>
    <xf numFmtId="4" fontId="15" fillId="2" borderId="7" xfId="0" applyNumberFormat="1" applyFont="1" applyFill="1" applyBorder="1" applyAlignment="1">
      <alignment horizontal="right" vertical="center"/>
    </xf>
    <xf numFmtId="0" fontId="15" fillId="2" borderId="7" xfId="0" applyFont="1" applyFill="1" applyBorder="1" applyAlignment="1">
      <alignment horizontal="right" vertical="center"/>
    </xf>
    <xf numFmtId="10" fontId="8" fillId="2" borderId="7" xfId="0" applyNumberFormat="1" applyFont="1" applyFill="1" applyBorder="1" applyAlignment="1">
      <alignment horizontal="right" vertical="center"/>
    </xf>
    <xf numFmtId="10" fontId="9" fillId="2" borderId="7" xfId="0" applyNumberFormat="1" applyFont="1" applyFill="1" applyBorder="1" applyAlignment="1">
      <alignment horizontal="right" vertical="center"/>
    </xf>
    <xf numFmtId="0" fontId="17" fillId="4" borderId="0" xfId="0" applyFont="1" applyFill="1"/>
    <xf numFmtId="0" fontId="17" fillId="4" borderId="0" xfId="0" applyFont="1" applyFill="1" applyAlignment="1">
      <alignment horizontal="left" vertical="center"/>
    </xf>
    <xf numFmtId="4" fontId="19" fillId="4" borderId="0" xfId="0" applyNumberFormat="1" applyFont="1" applyFill="1" applyAlignment="1">
      <alignment horizontal="right" vertical="center"/>
    </xf>
    <xf numFmtId="0" fontId="19" fillId="4" borderId="0" xfId="0" applyFont="1" applyFill="1" applyAlignment="1">
      <alignment horizontal="right" vertical="center"/>
    </xf>
    <xf numFmtId="0" fontId="20" fillId="4" borderId="0" xfId="0" applyFont="1" applyFill="1" applyAlignment="1">
      <alignment horizontal="left" vertical="center"/>
    </xf>
    <xf numFmtId="4" fontId="21" fillId="4" borderId="0" xfId="0" applyNumberFormat="1" applyFont="1" applyFill="1" applyAlignment="1">
      <alignment horizontal="right" vertical="center"/>
    </xf>
    <xf numFmtId="0" fontId="21" fillId="4" borderId="0" xfId="0" applyFont="1" applyFill="1" applyAlignment="1">
      <alignment horizontal="right" vertical="center"/>
    </xf>
    <xf numFmtId="4" fontId="22" fillId="4" borderId="0" xfId="0" applyNumberFormat="1" applyFont="1" applyFill="1" applyAlignment="1">
      <alignment horizontal="right" vertical="center"/>
    </xf>
    <xf numFmtId="0" fontId="22" fillId="4" borderId="0" xfId="0" applyFont="1" applyFill="1" applyAlignment="1">
      <alignment horizontal="right" vertical="center"/>
    </xf>
    <xf numFmtId="0" fontId="18" fillId="3" borderId="0" xfId="0" applyFont="1" applyFill="1" applyAlignment="1">
      <alignment horizontal="left" vertical="center"/>
    </xf>
    <xf numFmtId="14" fontId="18" fillId="3" borderId="0" xfId="0" applyNumberFormat="1" applyFont="1" applyFill="1" applyAlignment="1">
      <alignment horizontal="right" vertical="center"/>
    </xf>
    <xf numFmtId="0" fontId="23" fillId="0" borderId="0" xfId="0" applyFont="1"/>
    <xf numFmtId="0" fontId="16" fillId="0" borderId="0" xfId="0" applyFont="1"/>
    <xf numFmtId="0" fontId="24" fillId="4" borderId="0" xfId="0" applyFont="1" applyFill="1" applyAlignment="1">
      <alignment horizontal="right" vertical="center"/>
    </xf>
    <xf numFmtId="0" fontId="25" fillId="4" borderId="0" xfId="0" applyFont="1" applyFill="1" applyAlignment="1">
      <alignment horizontal="left" vertical="center"/>
    </xf>
    <xf numFmtId="4" fontId="26" fillId="4" borderId="0" xfId="0" applyNumberFormat="1" applyFont="1" applyFill="1" applyAlignment="1">
      <alignment horizontal="right" vertical="center"/>
    </xf>
    <xf numFmtId="4" fontId="27" fillId="4" borderId="0" xfId="0" applyNumberFormat="1" applyFont="1" applyFill="1" applyAlignment="1">
      <alignment horizontal="right" vertical="center"/>
    </xf>
    <xf numFmtId="0" fontId="27" fillId="4" borderId="0" xfId="0" applyFont="1" applyFill="1" applyAlignment="1">
      <alignment horizontal="right" vertical="center"/>
    </xf>
    <xf numFmtId="0" fontId="26" fillId="4" borderId="0" xfId="0" applyFont="1" applyFill="1" applyAlignment="1">
      <alignment horizontal="right" vertical="center"/>
    </xf>
    <xf numFmtId="4" fontId="24" fillId="4" borderId="0" xfId="0" applyNumberFormat="1" applyFont="1" applyFill="1" applyAlignment="1">
      <alignment horizontal="right" vertical="center"/>
    </xf>
    <xf numFmtId="0" fontId="28" fillId="4" borderId="0" xfId="0" applyFont="1" applyFill="1" applyAlignment="1">
      <alignment horizontal="left" vertical="center"/>
    </xf>
    <xf numFmtId="10" fontId="29" fillId="4" borderId="0" xfId="0" applyNumberFormat="1" applyFont="1" applyFill="1" applyAlignment="1">
      <alignment horizontal="right" vertical="center"/>
    </xf>
    <xf numFmtId="10" fontId="30" fillId="4" borderId="0" xfId="0" applyNumberFormat="1" applyFont="1" applyFill="1" applyAlignment="1">
      <alignment horizontal="right" vertical="center"/>
    </xf>
    <xf numFmtId="0" fontId="31" fillId="3" borderId="0" xfId="0" applyFont="1" applyFill="1"/>
    <xf numFmtId="0" fontId="32" fillId="0" borderId="9" xfId="0" applyFont="1" applyBorder="1"/>
    <xf numFmtId="0" fontId="34" fillId="0" borderId="10" xfId="0" applyFont="1" applyBorder="1"/>
    <xf numFmtId="10" fontId="34" fillId="0" borderId="10" xfId="0" applyNumberFormat="1" applyFont="1" applyBorder="1" applyAlignment="1">
      <alignment horizontal="center"/>
    </xf>
    <xf numFmtId="0" fontId="16" fillId="0" borderId="10" xfId="0" applyFont="1" applyBorder="1"/>
    <xf numFmtId="10" fontId="16" fillId="0" borderId="10" xfId="0" applyNumberFormat="1" applyFont="1" applyBorder="1" applyAlignment="1">
      <alignment horizontal="center"/>
    </xf>
    <xf numFmtId="0" fontId="16" fillId="0" borderId="9" xfId="0" applyFont="1" applyBorder="1"/>
    <xf numFmtId="10" fontId="16" fillId="0" borderId="9" xfId="0" applyNumberFormat="1" applyFont="1" applyBorder="1" applyAlignment="1">
      <alignment horizontal="center"/>
    </xf>
    <xf numFmtId="0" fontId="32" fillId="0" borderId="12" xfId="0" applyFont="1" applyBorder="1" applyAlignment="1">
      <alignment wrapText="1"/>
    </xf>
    <xf numFmtId="10" fontId="32" fillId="0" borderId="12" xfId="0" applyNumberFormat="1" applyFont="1" applyBorder="1" applyAlignment="1">
      <alignment horizontal="right" wrapText="1"/>
    </xf>
    <xf numFmtId="0" fontId="32" fillId="0" borderId="9" xfId="0" applyFont="1" applyBorder="1" applyAlignment="1">
      <alignment wrapText="1"/>
    </xf>
    <xf numFmtId="10" fontId="32" fillId="0" borderId="9" xfId="0" applyNumberFormat="1" applyFont="1" applyBorder="1" applyAlignment="1">
      <alignment horizontal="right" wrapText="1"/>
    </xf>
    <xf numFmtId="0" fontId="16" fillId="0" borderId="10" xfId="0" applyFont="1" applyBorder="1" applyAlignment="1">
      <alignment wrapText="1"/>
    </xf>
    <xf numFmtId="0" fontId="16" fillId="0" borderId="9" xfId="0" applyFont="1" applyBorder="1" applyAlignment="1">
      <alignment wrapText="1"/>
    </xf>
    <xf numFmtId="0" fontId="35" fillId="0" borderId="9" xfId="0" applyFont="1" applyBorder="1" applyAlignment="1">
      <alignment wrapText="1"/>
    </xf>
    <xf numFmtId="9" fontId="36" fillId="0" borderId="9" xfId="0" applyNumberFormat="1" applyFont="1" applyBorder="1" applyAlignment="1">
      <alignment horizontal="right" wrapText="1"/>
    </xf>
    <xf numFmtId="0" fontId="35" fillId="0" borderId="8" xfId="0" applyFont="1" applyBorder="1" applyAlignment="1">
      <alignment horizontal="center"/>
    </xf>
    <xf numFmtId="0" fontId="35" fillId="0" borderId="9" xfId="0" applyFont="1" applyBorder="1" applyAlignment="1">
      <alignment horizontal="right" wrapText="1"/>
    </xf>
    <xf numFmtId="10" fontId="32" fillId="0" borderId="9" xfId="0" applyNumberFormat="1" applyFont="1" applyBorder="1" applyAlignment="1">
      <alignment horizontal="center"/>
    </xf>
    <xf numFmtId="15" fontId="35" fillId="0" borderId="8" xfId="0" applyNumberFormat="1" applyFont="1" applyBorder="1" applyAlignment="1">
      <alignment horizontal="center"/>
    </xf>
    <xf numFmtId="0" fontId="37" fillId="0" borderId="8" xfId="0" applyFont="1" applyBorder="1"/>
    <xf numFmtId="0" fontId="37" fillId="0" borderId="8" xfId="0" applyFont="1" applyBorder="1" applyAlignment="1">
      <alignment horizontal="center"/>
    </xf>
    <xf numFmtId="0" fontId="16" fillId="0" borderId="9" xfId="0" applyFont="1" applyBorder="1" applyAlignment="1">
      <alignment horizontal="center" vertical="center"/>
    </xf>
    <xf numFmtId="3" fontId="32" fillId="0" borderId="9" xfId="0" applyNumberFormat="1" applyFont="1" applyBorder="1" applyAlignment="1">
      <alignment horizontal="center" vertical="center"/>
    </xf>
    <xf numFmtId="3" fontId="34" fillId="0" borderId="10" xfId="0" applyNumberFormat="1" applyFont="1" applyBorder="1" applyAlignment="1">
      <alignment horizontal="center" vertical="center"/>
    </xf>
    <xf numFmtId="3" fontId="16" fillId="0" borderId="10" xfId="0" applyNumberFormat="1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3" fontId="32" fillId="0" borderId="12" xfId="0" applyNumberFormat="1" applyFont="1" applyBorder="1" applyAlignment="1">
      <alignment horizontal="center" vertical="center" wrapText="1"/>
    </xf>
    <xf numFmtId="3" fontId="32" fillId="0" borderId="9" xfId="0" applyNumberFormat="1" applyFont="1" applyBorder="1" applyAlignment="1">
      <alignment horizontal="center" vertical="center" wrapText="1"/>
    </xf>
    <xf numFmtId="0" fontId="16" fillId="0" borderId="10" xfId="0" applyFont="1" applyBorder="1" applyAlignment="1">
      <alignment horizontal="center" vertical="center" wrapText="1"/>
    </xf>
    <xf numFmtId="0" fontId="16" fillId="0" borderId="9" xfId="0" applyFont="1" applyBorder="1" applyAlignment="1">
      <alignment horizontal="center" vertical="center" wrapText="1"/>
    </xf>
    <xf numFmtId="3" fontId="35" fillId="0" borderId="9" xfId="0" applyNumberFormat="1" applyFont="1" applyBorder="1" applyAlignment="1">
      <alignment horizontal="center" vertical="center" wrapText="1"/>
    </xf>
    <xf numFmtId="3" fontId="16" fillId="0" borderId="10" xfId="0" applyNumberFormat="1" applyFont="1" applyBorder="1" applyAlignment="1">
      <alignment horizontal="center" vertical="center" wrapText="1"/>
    </xf>
    <xf numFmtId="0" fontId="32" fillId="0" borderId="9" xfId="0" applyFont="1" applyBorder="1" applyAlignment="1">
      <alignment horizontal="center" vertical="center" wrapText="1"/>
    </xf>
    <xf numFmtId="0" fontId="32" fillId="0" borderId="9" xfId="0" applyFont="1" applyBorder="1" applyAlignment="1">
      <alignment horizontal="center" vertical="center"/>
    </xf>
    <xf numFmtId="0" fontId="34" fillId="0" borderId="10" xfId="0" applyFont="1" applyBorder="1" applyAlignment="1">
      <alignment horizontal="center" vertical="center"/>
    </xf>
    <xf numFmtId="3" fontId="16" fillId="0" borderId="0" xfId="0" applyNumberFormat="1" applyFont="1" applyAlignment="1">
      <alignment horizontal="center" vertical="center"/>
    </xf>
    <xf numFmtId="0" fontId="16" fillId="0" borderId="13" xfId="0" applyFont="1" applyBorder="1" applyAlignment="1">
      <alignment wrapText="1"/>
    </xf>
    <xf numFmtId="0" fontId="37" fillId="0" borderId="15" xfId="0" applyFont="1" applyBorder="1"/>
    <xf numFmtId="3" fontId="16" fillId="0" borderId="17" xfId="0" applyNumberFormat="1" applyFont="1" applyBorder="1" applyAlignment="1">
      <alignment horizontal="center" vertical="center"/>
    </xf>
    <xf numFmtId="3" fontId="16" fillId="0" borderId="18" xfId="0" applyNumberFormat="1" applyFont="1" applyBorder="1" applyAlignment="1">
      <alignment horizontal="center" vertical="center"/>
    </xf>
    <xf numFmtId="0" fontId="16" fillId="0" borderId="19" xfId="0" applyFont="1" applyBorder="1"/>
    <xf numFmtId="0" fontId="16" fillId="0" borderId="20" xfId="0" applyFont="1" applyBorder="1"/>
    <xf numFmtId="0" fontId="16" fillId="0" borderId="21" xfId="0" applyFont="1" applyBorder="1"/>
    <xf numFmtId="0" fontId="16" fillId="0" borderId="22" xfId="0" applyFont="1" applyBorder="1"/>
    <xf numFmtId="0" fontId="16" fillId="0" borderId="16" xfId="0" applyFont="1" applyBorder="1" applyAlignment="1">
      <alignment horizontal="center" vertical="center"/>
    </xf>
    <xf numFmtId="3" fontId="34" fillId="0" borderId="24" xfId="0" applyNumberFormat="1" applyFont="1" applyBorder="1" applyAlignment="1">
      <alignment horizontal="center" vertical="center"/>
    </xf>
    <xf numFmtId="0" fontId="16" fillId="0" borderId="23" xfId="0" applyFont="1" applyBorder="1"/>
    <xf numFmtId="3" fontId="16" fillId="0" borderId="13" xfId="0" applyNumberFormat="1" applyFont="1" applyBorder="1" applyAlignment="1">
      <alignment horizontal="center" vertical="center" wrapText="1"/>
    </xf>
    <xf numFmtId="2" fontId="37" fillId="0" borderId="16" xfId="0" applyNumberFormat="1" applyFont="1" applyBorder="1" applyAlignment="1">
      <alignment wrapText="1"/>
    </xf>
    <xf numFmtId="0" fontId="16" fillId="0" borderId="14" xfId="0" applyFont="1" applyBorder="1"/>
    <xf numFmtId="3" fontId="35" fillId="0" borderId="25" xfId="0" applyNumberFormat="1" applyFont="1" applyBorder="1" applyAlignment="1">
      <alignment horizontal="center" vertical="center" wrapText="1"/>
    </xf>
    <xf numFmtId="0" fontId="16" fillId="0" borderId="26" xfId="0" applyFont="1" applyBorder="1"/>
    <xf numFmtId="0" fontId="16" fillId="0" borderId="23" xfId="0" applyFont="1" applyBorder="1" applyAlignment="1">
      <alignment wrapText="1"/>
    </xf>
    <xf numFmtId="164" fontId="16" fillId="0" borderId="10" xfId="1" applyNumberFormat="1" applyFont="1" applyBorder="1" applyAlignment="1">
      <alignment horizontal="center" vertical="center"/>
    </xf>
    <xf numFmtId="0" fontId="35" fillId="0" borderId="27" xfId="0" applyFont="1" applyBorder="1" applyAlignment="1">
      <alignment horizontal="center"/>
    </xf>
    <xf numFmtId="9" fontId="0" fillId="0" borderId="0" xfId="2" applyFont="1"/>
    <xf numFmtId="0" fontId="0" fillId="0" borderId="23" xfId="0" applyBorder="1"/>
    <xf numFmtId="9" fontId="0" fillId="0" borderId="23" xfId="2" applyFont="1" applyBorder="1"/>
    <xf numFmtId="14" fontId="0" fillId="0" borderId="23" xfId="0" applyNumberFormat="1" applyBorder="1"/>
    <xf numFmtId="2" fontId="0" fillId="0" borderId="23" xfId="0" applyNumberFormat="1" applyBorder="1"/>
    <xf numFmtId="10" fontId="0" fillId="0" borderId="0" xfId="2" applyNumberFormat="1" applyFont="1"/>
    <xf numFmtId="165" fontId="16" fillId="0" borderId="0" xfId="2" applyNumberFormat="1" applyFont="1"/>
    <xf numFmtId="10" fontId="0" fillId="0" borderId="28" xfId="2" applyNumberFormat="1" applyFont="1" applyFill="1" applyBorder="1"/>
    <xf numFmtId="0" fontId="33" fillId="5" borderId="11" xfId="0" applyFont="1" applyFill="1" applyBorder="1" applyAlignment="1">
      <alignment horizontal="center"/>
    </xf>
    <xf numFmtId="0" fontId="33" fillId="0" borderId="0" xfId="0" applyFont="1" applyAlignment="1">
      <alignment horizontal="center"/>
    </xf>
  </cellXfs>
  <cellStyles count="3">
    <cellStyle name="Comma" xfId="1" builtinId="3"/>
    <cellStyle name="Normal" xfId="0" builtinId="0"/>
    <cellStyle name="Per 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42E8C-D27E-4EB8-BF81-47BB86D57D63}">
  <dimension ref="A2:F70"/>
  <sheetViews>
    <sheetView zoomScale="87" workbookViewId="0">
      <selection activeCell="F46" sqref="F46:F51"/>
    </sheetView>
  </sheetViews>
  <sheetFormatPr defaultColWidth="8.796875" defaultRowHeight="13.15" x14ac:dyDescent="0.4"/>
  <cols>
    <col min="1" max="1" width="26.19921875" style="60" bestFit="1" customWidth="1"/>
    <col min="2" max="2" width="13.6640625" style="60" bestFit="1" customWidth="1"/>
    <col min="3" max="3" width="13.19921875" style="60" bestFit="1" customWidth="1"/>
    <col min="4" max="5" width="17.19921875" style="60" bestFit="1" customWidth="1"/>
    <col min="6" max="16384" width="8.796875" style="60"/>
  </cols>
  <sheetData>
    <row r="2" spans="1:4" ht="16.149999999999999" thickBot="1" x14ac:dyDescent="0.55000000000000004">
      <c r="A2" s="135" t="s">
        <v>186</v>
      </c>
      <c r="B2" s="135"/>
      <c r="C2" s="135"/>
      <c r="D2" s="135"/>
    </row>
    <row r="3" spans="1:4" ht="13.5" thickBot="1" x14ac:dyDescent="0.45">
      <c r="A3" s="91" t="s">
        <v>147</v>
      </c>
      <c r="B3" s="92" t="s">
        <v>185</v>
      </c>
      <c r="C3" s="90" t="s">
        <v>193</v>
      </c>
      <c r="D3" s="126" t="s">
        <v>148</v>
      </c>
    </row>
    <row r="4" spans="1:4" ht="13.5" thickBot="1" x14ac:dyDescent="0.45">
      <c r="A4" s="72" t="s">
        <v>149</v>
      </c>
      <c r="B4" s="105"/>
      <c r="C4" s="94">
        <v>33100</v>
      </c>
      <c r="D4" s="89">
        <v>0.82799999999999996</v>
      </c>
    </row>
    <row r="5" spans="1:4" ht="13.5" thickBot="1" x14ac:dyDescent="0.45">
      <c r="A5" s="73" t="s">
        <v>150</v>
      </c>
      <c r="B5" s="106"/>
      <c r="C5" s="95">
        <v>29591</v>
      </c>
      <c r="D5" s="74">
        <v>0.74</v>
      </c>
    </row>
    <row r="6" spans="1:4" ht="13.5" thickBot="1" x14ac:dyDescent="0.45">
      <c r="A6" s="75" t="s">
        <v>151</v>
      </c>
      <c r="B6" s="96">
        <v>37768613</v>
      </c>
      <c r="C6" s="96">
        <v>15716</v>
      </c>
      <c r="D6" s="76">
        <v>0.39300000000000002</v>
      </c>
    </row>
    <row r="7" spans="1:4" ht="13.5" thickBot="1" x14ac:dyDescent="0.45">
      <c r="A7" s="75" t="s">
        <v>152</v>
      </c>
      <c r="B7" s="96">
        <v>366927900</v>
      </c>
      <c r="C7" s="96">
        <v>4057</v>
      </c>
      <c r="D7" s="76">
        <v>0.10100000000000001</v>
      </c>
    </row>
    <row r="8" spans="1:4" ht="13.5" thickBot="1" x14ac:dyDescent="0.45">
      <c r="A8" s="75" t="s">
        <v>153</v>
      </c>
      <c r="B8" s="96">
        <v>449410092</v>
      </c>
      <c r="C8" s="96">
        <v>3824</v>
      </c>
      <c r="D8" s="76">
        <v>9.6000000000000002E-2</v>
      </c>
    </row>
    <row r="9" spans="1:4" ht="13.5" thickBot="1" x14ac:dyDescent="0.45">
      <c r="A9" s="75" t="s">
        <v>154</v>
      </c>
      <c r="B9" s="97">
        <v>182543970</v>
      </c>
      <c r="C9" s="96">
        <v>3726</v>
      </c>
      <c r="D9" s="76">
        <v>9.2999999999999999E-2</v>
      </c>
    </row>
    <row r="10" spans="1:4" ht="13.5" thickBot="1" x14ac:dyDescent="0.45">
      <c r="A10" s="75" t="s">
        <v>155</v>
      </c>
      <c r="B10" s="96">
        <v>73385580</v>
      </c>
      <c r="C10" s="97">
        <v>1226</v>
      </c>
      <c r="D10" s="76">
        <v>3.1E-2</v>
      </c>
    </row>
    <row r="11" spans="1:4" ht="13.5" thickBot="1" x14ac:dyDescent="0.45">
      <c r="A11" s="75" t="s">
        <v>156</v>
      </c>
      <c r="B11" s="107">
        <v>247849342</v>
      </c>
      <c r="C11" s="97">
        <v>795</v>
      </c>
      <c r="D11" s="76">
        <v>0.02</v>
      </c>
    </row>
    <row r="12" spans="1:4" ht="13.5" thickBot="1" x14ac:dyDescent="0.45">
      <c r="A12" s="77" t="s">
        <v>157</v>
      </c>
      <c r="B12" s="107">
        <v>67294884</v>
      </c>
      <c r="C12" s="93">
        <v>247</v>
      </c>
      <c r="D12" s="78">
        <v>6.0000000000000001E-3</v>
      </c>
    </row>
    <row r="13" spans="1:4" ht="13.5" thickBot="1" x14ac:dyDescent="0.45">
      <c r="A13" s="73" t="s">
        <v>158</v>
      </c>
      <c r="B13" s="97" t="s">
        <v>170</v>
      </c>
      <c r="C13" s="95">
        <v>3509</v>
      </c>
      <c r="D13" s="74">
        <v>8.7999999999999995E-2</v>
      </c>
    </row>
    <row r="14" spans="1:4" ht="13.5" thickBot="1" x14ac:dyDescent="0.45">
      <c r="A14" s="75" t="s">
        <v>159</v>
      </c>
      <c r="B14" s="97" t="s">
        <v>170</v>
      </c>
      <c r="C14" s="97">
        <v>974</v>
      </c>
      <c r="D14" s="76">
        <v>2.4E-2</v>
      </c>
    </row>
    <row r="15" spans="1:4" ht="13.5" thickBot="1" x14ac:dyDescent="0.45">
      <c r="A15" s="75" t="s">
        <v>160</v>
      </c>
      <c r="B15" s="97" t="s">
        <v>170</v>
      </c>
      <c r="C15" s="97">
        <v>647</v>
      </c>
      <c r="D15" s="76">
        <v>1.6E-2</v>
      </c>
    </row>
    <row r="16" spans="1:4" ht="13.5" thickBot="1" x14ac:dyDescent="0.45">
      <c r="A16" s="75" t="s">
        <v>161</v>
      </c>
      <c r="B16" s="97" t="s">
        <v>170</v>
      </c>
      <c r="C16" s="97">
        <v>575</v>
      </c>
      <c r="D16" s="76">
        <v>1.4E-2</v>
      </c>
    </row>
    <row r="17" spans="1:4" ht="13.5" thickBot="1" x14ac:dyDescent="0.45">
      <c r="A17" s="75" t="s">
        <v>162</v>
      </c>
      <c r="B17" s="97" t="s">
        <v>170</v>
      </c>
      <c r="C17" s="97">
        <v>403</v>
      </c>
      <c r="D17" s="76">
        <v>0.01</v>
      </c>
    </row>
    <row r="18" spans="1:4" ht="13.5" thickBot="1" x14ac:dyDescent="0.45">
      <c r="A18" s="75" t="s">
        <v>163</v>
      </c>
      <c r="B18" s="97" t="s">
        <v>170</v>
      </c>
      <c r="C18" s="97">
        <v>374</v>
      </c>
      <c r="D18" s="76">
        <v>8.9999999999999993E-3</v>
      </c>
    </row>
    <row r="19" spans="1:4" ht="13.5" thickBot="1" x14ac:dyDescent="0.45">
      <c r="A19" s="75" t="s">
        <v>164</v>
      </c>
      <c r="B19" s="97" t="s">
        <v>170</v>
      </c>
      <c r="C19" s="97">
        <v>210</v>
      </c>
      <c r="D19" s="76">
        <v>5.0000000000000001E-3</v>
      </c>
    </row>
    <row r="20" spans="1:4" ht="13.5" thickBot="1" x14ac:dyDescent="0.45">
      <c r="A20" s="75" t="s">
        <v>165</v>
      </c>
      <c r="B20" s="97" t="s">
        <v>170</v>
      </c>
      <c r="C20" s="97">
        <v>121</v>
      </c>
      <c r="D20" s="76">
        <v>3.0000000000000001E-3</v>
      </c>
    </row>
    <row r="21" spans="1:4" ht="13.5" thickBot="1" x14ac:dyDescent="0.45">
      <c r="A21" s="75" t="s">
        <v>166</v>
      </c>
      <c r="B21" s="97" t="s">
        <v>170</v>
      </c>
      <c r="C21" s="97">
        <v>118</v>
      </c>
      <c r="D21" s="76">
        <v>3.0000000000000001E-3</v>
      </c>
    </row>
    <row r="22" spans="1:4" ht="13.5" thickBot="1" x14ac:dyDescent="0.45">
      <c r="A22" s="75" t="s">
        <v>167</v>
      </c>
      <c r="B22" s="97" t="s">
        <v>170</v>
      </c>
      <c r="C22" s="97">
        <v>80</v>
      </c>
      <c r="D22" s="76">
        <v>2E-3</v>
      </c>
    </row>
    <row r="23" spans="1:4" ht="13.5" thickBot="1" x14ac:dyDescent="0.45">
      <c r="A23" s="75" t="s">
        <v>168</v>
      </c>
      <c r="B23" s="97" t="s">
        <v>170</v>
      </c>
      <c r="C23" s="97">
        <v>7</v>
      </c>
      <c r="D23" s="76">
        <v>0</v>
      </c>
    </row>
    <row r="24" spans="1:4" ht="13.5" thickBot="1" x14ac:dyDescent="0.45">
      <c r="A24" s="77" t="s">
        <v>169</v>
      </c>
      <c r="B24" s="97" t="s">
        <v>170</v>
      </c>
      <c r="C24" s="93" t="s">
        <v>170</v>
      </c>
      <c r="D24" s="78">
        <v>0</v>
      </c>
    </row>
    <row r="25" spans="1:4" ht="13.5" thickBot="1" x14ac:dyDescent="0.45">
      <c r="A25" s="79" t="s">
        <v>171</v>
      </c>
      <c r="B25" s="97" t="s">
        <v>170</v>
      </c>
      <c r="C25" s="98">
        <v>3193</v>
      </c>
      <c r="D25" s="80">
        <v>0.08</v>
      </c>
    </row>
    <row r="26" spans="1:4" ht="13.5" thickBot="1" x14ac:dyDescent="0.45">
      <c r="A26" s="81" t="s">
        <v>172</v>
      </c>
      <c r="B26" s="97" t="s">
        <v>170</v>
      </c>
      <c r="C26" s="99">
        <v>2174</v>
      </c>
      <c r="D26" s="82">
        <v>5.3999999999999999E-2</v>
      </c>
    </row>
    <row r="27" spans="1:4" ht="13.5" thickBot="1" x14ac:dyDescent="0.45">
      <c r="A27" s="83" t="s">
        <v>173</v>
      </c>
      <c r="B27" s="97" t="s">
        <v>170</v>
      </c>
      <c r="C27" s="100">
        <v>877</v>
      </c>
      <c r="D27" s="83"/>
    </row>
    <row r="28" spans="1:4" ht="13.5" thickBot="1" x14ac:dyDescent="0.45">
      <c r="A28" s="83" t="s">
        <v>174</v>
      </c>
      <c r="B28" s="97" t="s">
        <v>170</v>
      </c>
      <c r="C28" s="100">
        <v>643</v>
      </c>
      <c r="D28" s="83"/>
    </row>
    <row r="29" spans="1:4" ht="13.5" thickBot="1" x14ac:dyDescent="0.45">
      <c r="A29" s="83" t="s">
        <v>175</v>
      </c>
      <c r="B29" s="97" t="s">
        <v>170</v>
      </c>
      <c r="C29" s="100">
        <v>370</v>
      </c>
      <c r="D29" s="83"/>
    </row>
    <row r="30" spans="1:4" ht="13.5" thickBot="1" x14ac:dyDescent="0.45">
      <c r="A30" s="84" t="s">
        <v>176</v>
      </c>
      <c r="B30" s="97" t="s">
        <v>170</v>
      </c>
      <c r="C30" s="101">
        <v>284</v>
      </c>
      <c r="D30" s="84"/>
    </row>
    <row r="31" spans="1:4" ht="13.5" thickBot="1" x14ac:dyDescent="0.45">
      <c r="A31" s="81" t="s">
        <v>177</v>
      </c>
      <c r="B31" s="97" t="s">
        <v>170</v>
      </c>
      <c r="C31" s="99">
        <v>1532</v>
      </c>
      <c r="D31" s="82">
        <v>3.7999999999999999E-2</v>
      </c>
    </row>
    <row r="32" spans="1:4" ht="13.5" thickBot="1" x14ac:dyDescent="0.45">
      <c r="A32" s="85" t="s">
        <v>178</v>
      </c>
      <c r="B32" s="97" t="s">
        <v>170</v>
      </c>
      <c r="C32" s="102">
        <v>39999</v>
      </c>
      <c r="D32" s="86">
        <v>1</v>
      </c>
    </row>
    <row r="33" spans="1:6" ht="13.5" thickBot="1" x14ac:dyDescent="0.45">
      <c r="A33" s="81" t="s">
        <v>179</v>
      </c>
      <c r="B33" s="97" t="s">
        <v>170</v>
      </c>
      <c r="C33" s="99">
        <v>-3542</v>
      </c>
      <c r="D33" s="83"/>
    </row>
    <row r="34" spans="1:6" ht="13.5" thickBot="1" x14ac:dyDescent="0.45">
      <c r="A34" s="83" t="s">
        <v>180</v>
      </c>
      <c r="B34" s="97" t="s">
        <v>170</v>
      </c>
      <c r="C34" s="103">
        <v>-3501</v>
      </c>
      <c r="D34" s="83"/>
    </row>
    <row r="35" spans="1:6" ht="13.5" thickBot="1" x14ac:dyDescent="0.45">
      <c r="A35" s="84" t="s">
        <v>181</v>
      </c>
      <c r="B35" s="97" t="s">
        <v>170</v>
      </c>
      <c r="C35" s="101">
        <v>-41</v>
      </c>
      <c r="D35" s="83"/>
    </row>
    <row r="36" spans="1:6" ht="13.5" thickBot="1" x14ac:dyDescent="0.45">
      <c r="A36" s="81" t="s">
        <v>182</v>
      </c>
      <c r="B36" s="97" t="s">
        <v>170</v>
      </c>
      <c r="C36" s="104">
        <v>-102</v>
      </c>
      <c r="D36" s="83"/>
    </row>
    <row r="37" spans="1:6" ht="13.5" thickBot="1" x14ac:dyDescent="0.45">
      <c r="A37" s="85" t="s">
        <v>183</v>
      </c>
      <c r="B37" s="97" t="s">
        <v>170</v>
      </c>
      <c r="C37" s="102">
        <v>36355</v>
      </c>
      <c r="D37" s="83"/>
    </row>
    <row r="38" spans="1:6" ht="13.5" thickBot="1" x14ac:dyDescent="0.45">
      <c r="A38" s="84"/>
      <c r="B38" s="97" t="s">
        <v>170</v>
      </c>
      <c r="C38" s="84"/>
      <c r="D38" s="83"/>
    </row>
    <row r="39" spans="1:6" ht="13.5" thickBot="1" x14ac:dyDescent="0.45">
      <c r="A39" s="85" t="s">
        <v>184</v>
      </c>
      <c r="B39" s="97" t="s">
        <v>170</v>
      </c>
      <c r="C39" s="88">
        <v>180.42</v>
      </c>
      <c r="D39" s="83"/>
    </row>
    <row r="42" spans="1:6" ht="16.149999999999999" thickBot="1" x14ac:dyDescent="0.55000000000000004">
      <c r="A42" s="136" t="s">
        <v>187</v>
      </c>
      <c r="B42" s="136"/>
      <c r="C42" s="136"/>
      <c r="D42" s="136"/>
    </row>
    <row r="43" spans="1:6" ht="15.4" thickBot="1" x14ac:dyDescent="0.6">
      <c r="A43" s="91" t="s">
        <v>147</v>
      </c>
      <c r="B43" s="92" t="s">
        <v>185</v>
      </c>
      <c r="C43" s="109" t="s">
        <v>189</v>
      </c>
      <c r="D43" s="90" t="s">
        <v>190</v>
      </c>
      <c r="E43" s="87" t="s">
        <v>148</v>
      </c>
      <c r="F43" s="60" t="s">
        <v>201</v>
      </c>
    </row>
    <row r="44" spans="1:6" ht="13.5" thickBot="1" x14ac:dyDescent="0.45">
      <c r="A44" s="72" t="s">
        <v>149</v>
      </c>
      <c r="B44" s="105"/>
      <c r="C44" s="112"/>
      <c r="D44" s="94"/>
      <c r="E44" s="89"/>
    </row>
    <row r="45" spans="1:6" ht="13.5" thickBot="1" x14ac:dyDescent="0.45">
      <c r="A45" s="73" t="s">
        <v>150</v>
      </c>
      <c r="B45" s="106"/>
      <c r="D45" s="95">
        <f>SUM(D46:D51)</f>
        <v>23413.111317322</v>
      </c>
      <c r="E45" s="74">
        <f>D45/$D$61</f>
        <v>0.65103130568252132</v>
      </c>
    </row>
    <row r="46" spans="1:6" ht="13.5" thickBot="1" x14ac:dyDescent="0.45">
      <c r="A46" s="75" t="s">
        <v>151</v>
      </c>
      <c r="B46" s="96">
        <v>37768613</v>
      </c>
      <c r="C46" s="113">
        <v>289.8</v>
      </c>
      <c r="D46" s="96">
        <f>C46*B46/1000000</f>
        <v>10945.3440474</v>
      </c>
      <c r="E46" s="74">
        <f t="shared" ref="E46:E60" si="0">D46/$D$61</f>
        <v>0.30434919689854706</v>
      </c>
      <c r="F46" s="133">
        <f>D46/$D$66</f>
        <v>0.33866475906265558</v>
      </c>
    </row>
    <row r="47" spans="1:6" ht="13.5" thickBot="1" x14ac:dyDescent="0.45">
      <c r="A47" s="75" t="s">
        <v>152</v>
      </c>
      <c r="B47" s="96">
        <v>366927900</v>
      </c>
      <c r="C47" s="114">
        <v>10.8</v>
      </c>
      <c r="D47" s="96">
        <f>C47*B47/1000000*0.85</f>
        <v>3368.3981220000005</v>
      </c>
      <c r="E47" s="74">
        <f t="shared" si="0"/>
        <v>9.3662589209226099E-2</v>
      </c>
      <c r="F47" s="133">
        <f t="shared" ref="F47:F51" si="1">D47/$D$66</f>
        <v>0.10422310468031488</v>
      </c>
    </row>
    <row r="48" spans="1:6" ht="13.5" thickBot="1" x14ac:dyDescent="0.45">
      <c r="A48" s="75" t="s">
        <v>153</v>
      </c>
      <c r="B48" s="96">
        <v>449410092</v>
      </c>
      <c r="C48" s="60">
        <v>8.2899999999999991</v>
      </c>
      <c r="D48" s="96">
        <f>C48*B48/1000000</f>
        <v>3725.6096626799999</v>
      </c>
      <c r="E48" s="74">
        <f t="shared" si="0"/>
        <v>0.10359530992207346</v>
      </c>
      <c r="F48" s="133">
        <f t="shared" si="1"/>
        <v>0.11527574586134098</v>
      </c>
    </row>
    <row r="49" spans="1:6" ht="13.5" thickBot="1" x14ac:dyDescent="0.45">
      <c r="A49" s="75" t="s">
        <v>154</v>
      </c>
      <c r="B49" s="97">
        <v>182543970</v>
      </c>
      <c r="C49" s="113">
        <v>29.32</v>
      </c>
      <c r="D49" s="96">
        <f>C49*B49/1000000*0.85</f>
        <v>4549.360820339999</v>
      </c>
      <c r="E49" s="74">
        <f t="shared" si="0"/>
        <v>0.12650075740662498</v>
      </c>
      <c r="F49" s="133">
        <f t="shared" si="1"/>
        <v>0.14076379686534538</v>
      </c>
    </row>
    <row r="50" spans="1:6" ht="13.5" thickBot="1" x14ac:dyDescent="0.45">
      <c r="A50" s="75" t="s">
        <v>156</v>
      </c>
      <c r="B50" s="110">
        <v>247849342</v>
      </c>
      <c r="C50" s="115">
        <v>2.65</v>
      </c>
      <c r="D50" s="96">
        <f>C50*B50/1000000</f>
        <v>656.80075629999999</v>
      </c>
      <c r="E50" s="74">
        <f t="shared" si="0"/>
        <v>1.826317947033813E-2</v>
      </c>
      <c r="F50" s="133">
        <f t="shared" si="1"/>
        <v>2.0322364369838846E-2</v>
      </c>
    </row>
    <row r="51" spans="1:6" ht="13.5" thickBot="1" x14ac:dyDescent="0.45">
      <c r="A51" s="77" t="s">
        <v>157</v>
      </c>
      <c r="B51" s="111">
        <v>67294884</v>
      </c>
      <c r="C51" s="115">
        <v>2.93</v>
      </c>
      <c r="D51" s="96">
        <f>C51*B51/1000000*0.85</f>
        <v>167.59790860199999</v>
      </c>
      <c r="E51" s="74">
        <f t="shared" si="0"/>
        <v>4.6602727757115592E-3</v>
      </c>
      <c r="F51" s="133">
        <f t="shared" si="1"/>
        <v>5.1857214437753714E-3</v>
      </c>
    </row>
    <row r="52" spans="1:6" ht="13.5" thickBot="1" x14ac:dyDescent="0.45">
      <c r="A52" s="73" t="s">
        <v>191</v>
      </c>
      <c r="B52" s="116" t="s">
        <v>170</v>
      </c>
      <c r="C52" s="116" t="s">
        <v>170</v>
      </c>
      <c r="D52" s="117">
        <v>3509</v>
      </c>
      <c r="E52" s="74">
        <f t="shared" si="0"/>
        <v>9.7572203056576323E-2</v>
      </c>
    </row>
    <row r="53" spans="1:6" ht="13.5" thickBot="1" x14ac:dyDescent="0.45">
      <c r="A53" s="79" t="s">
        <v>171</v>
      </c>
      <c r="B53" s="97" t="s">
        <v>170</v>
      </c>
      <c r="C53" s="116" t="s">
        <v>170</v>
      </c>
      <c r="D53" s="98">
        <v>3193</v>
      </c>
      <c r="E53" s="74">
        <f t="shared" si="0"/>
        <v>8.8785421590096378E-2</v>
      </c>
    </row>
    <row r="54" spans="1:6" ht="13.5" thickBot="1" x14ac:dyDescent="0.45">
      <c r="A54" s="81" t="s">
        <v>172</v>
      </c>
      <c r="B54" s="97" t="s">
        <v>170</v>
      </c>
      <c r="C54" s="116" t="s">
        <v>170</v>
      </c>
      <c r="D54" s="99">
        <v>2174</v>
      </c>
      <c r="E54" s="74">
        <f t="shared" si="0"/>
        <v>6.0450831987744917E-2</v>
      </c>
    </row>
    <row r="55" spans="1:6" ht="13.5" thickBot="1" x14ac:dyDescent="0.45">
      <c r="A55" s="108" t="s">
        <v>192</v>
      </c>
      <c r="B55" s="97"/>
      <c r="C55" s="116" t="s">
        <v>170</v>
      </c>
      <c r="D55" s="119">
        <v>1500</v>
      </c>
      <c r="E55" s="74">
        <f t="shared" si="0"/>
        <v>4.1709405695316178E-2</v>
      </c>
    </row>
    <row r="56" spans="1:6" ht="13.5" thickBot="1" x14ac:dyDescent="0.45">
      <c r="A56" s="75" t="s">
        <v>173</v>
      </c>
      <c r="B56" s="97" t="s">
        <v>170</v>
      </c>
      <c r="C56" s="116" t="s">
        <v>170</v>
      </c>
      <c r="D56" s="100">
        <v>877</v>
      </c>
      <c r="E56" s="74">
        <f t="shared" si="0"/>
        <v>2.4386099196528194E-2</v>
      </c>
    </row>
    <row r="57" spans="1:6" ht="13.5" thickBot="1" x14ac:dyDescent="0.45">
      <c r="A57" s="83" t="s">
        <v>174</v>
      </c>
      <c r="B57" s="97" t="s">
        <v>170</v>
      </c>
      <c r="C57" s="116" t="s">
        <v>170</v>
      </c>
      <c r="D57" s="100">
        <v>643</v>
      </c>
      <c r="E57" s="74">
        <f t="shared" si="0"/>
        <v>1.7879431908058869E-2</v>
      </c>
    </row>
    <row r="58" spans="1:6" ht="13.5" thickBot="1" x14ac:dyDescent="0.45">
      <c r="A58" s="83" t="s">
        <v>175</v>
      </c>
      <c r="B58" s="97" t="s">
        <v>170</v>
      </c>
      <c r="C58" s="116" t="s">
        <v>170</v>
      </c>
      <c r="D58" s="100">
        <v>370</v>
      </c>
      <c r="E58" s="74">
        <f t="shared" si="0"/>
        <v>1.0288320071511325E-2</v>
      </c>
    </row>
    <row r="59" spans="1:6" ht="13.5" thickBot="1" x14ac:dyDescent="0.45">
      <c r="A59" s="84" t="s">
        <v>176</v>
      </c>
      <c r="B59" s="97" t="s">
        <v>170</v>
      </c>
      <c r="C59" s="116" t="s">
        <v>170</v>
      </c>
      <c r="D59" s="101">
        <v>284</v>
      </c>
      <c r="E59" s="74">
        <f t="shared" si="0"/>
        <v>7.8969808116465309E-3</v>
      </c>
    </row>
    <row r="60" spans="1:6" ht="13.5" thickBot="1" x14ac:dyDescent="0.45">
      <c r="A60" s="81" t="s">
        <v>177</v>
      </c>
      <c r="B60" s="97" t="s">
        <v>170</v>
      </c>
      <c r="C60" s="116" t="s">
        <v>170</v>
      </c>
      <c r="D60" s="99">
        <f>SUM(D55:D59)</f>
        <v>3674</v>
      </c>
      <c r="E60" s="74">
        <f t="shared" si="0"/>
        <v>0.10216023768306109</v>
      </c>
    </row>
    <row r="61" spans="1:6" ht="13.5" thickBot="1" x14ac:dyDescent="0.45">
      <c r="A61" s="85" t="s">
        <v>178</v>
      </c>
      <c r="B61" s="97" t="s">
        <v>170</v>
      </c>
      <c r="C61" s="116" t="s">
        <v>170</v>
      </c>
      <c r="D61" s="102">
        <f>D60+D54+D53+D52+D45</f>
        <v>35963.111317322</v>
      </c>
      <c r="E61" s="74">
        <f>SUM(E46:E59)</f>
        <v>1.0000000000000002</v>
      </c>
    </row>
    <row r="62" spans="1:6" ht="13.5" thickBot="1" x14ac:dyDescent="0.45">
      <c r="A62" s="81" t="s">
        <v>179</v>
      </c>
      <c r="B62" s="97" t="s">
        <v>170</v>
      </c>
      <c r="C62" s="116" t="s">
        <v>170</v>
      </c>
      <c r="D62" s="99">
        <v>-3542</v>
      </c>
      <c r="E62" s="74"/>
    </row>
    <row r="63" spans="1:6" ht="13.5" thickBot="1" x14ac:dyDescent="0.45">
      <c r="A63" s="83" t="s">
        <v>180</v>
      </c>
      <c r="B63" s="97" t="s">
        <v>170</v>
      </c>
      <c r="C63" s="116" t="s">
        <v>170</v>
      </c>
      <c r="D63" s="103">
        <v>-3501</v>
      </c>
      <c r="E63" s="83"/>
    </row>
    <row r="64" spans="1:6" ht="13.5" thickBot="1" x14ac:dyDescent="0.45">
      <c r="A64" s="84" t="s">
        <v>181</v>
      </c>
      <c r="B64" s="97" t="s">
        <v>170</v>
      </c>
      <c r="C64" s="116" t="s">
        <v>170</v>
      </c>
      <c r="D64" s="101">
        <v>-41</v>
      </c>
      <c r="E64" s="83"/>
    </row>
    <row r="65" spans="1:6" ht="13.5" thickBot="1" x14ac:dyDescent="0.45">
      <c r="A65" s="81" t="s">
        <v>182</v>
      </c>
      <c r="B65" s="97" t="s">
        <v>170</v>
      </c>
      <c r="C65" s="116" t="s">
        <v>170</v>
      </c>
      <c r="D65" s="104">
        <v>-102</v>
      </c>
      <c r="E65" s="83"/>
    </row>
    <row r="66" spans="1:6" ht="13.5" thickBot="1" x14ac:dyDescent="0.45">
      <c r="A66" s="85" t="s">
        <v>183</v>
      </c>
      <c r="B66" s="97" t="s">
        <v>170</v>
      </c>
      <c r="C66" s="116" t="s">
        <v>170</v>
      </c>
      <c r="D66" s="102">
        <f>D61+D62+D65</f>
        <v>32319.111317322</v>
      </c>
      <c r="E66" s="108"/>
    </row>
    <row r="67" spans="1:6" ht="13.5" thickBot="1" x14ac:dyDescent="0.45">
      <c r="A67" s="85" t="s">
        <v>194</v>
      </c>
      <c r="B67" s="125">
        <v>201505066</v>
      </c>
      <c r="C67" s="121"/>
      <c r="D67" s="122"/>
      <c r="E67" s="124"/>
      <c r="F67" s="123"/>
    </row>
    <row r="68" spans="1:6" ht="13.5" thickBot="1" x14ac:dyDescent="0.45">
      <c r="A68" s="85" t="s">
        <v>184</v>
      </c>
      <c r="B68" s="97" t="s">
        <v>170</v>
      </c>
      <c r="C68" s="88"/>
      <c r="D68" s="120">
        <f>D66*1000000/201505066</f>
        <v>160.38857959691197</v>
      </c>
      <c r="E68" s="118"/>
    </row>
    <row r="70" spans="1:6" x14ac:dyDescent="0.4">
      <c r="C70" s="60" t="s">
        <v>200</v>
      </c>
      <c r="D70" s="60">
        <f>(D68)/D68</f>
        <v>1</v>
      </c>
    </row>
  </sheetData>
  <mergeCells count="2">
    <mergeCell ref="A2:D2"/>
    <mergeCell ref="A42:D4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074A4-C358-415C-AD74-4861F01904C3}">
  <dimension ref="A1:H71"/>
  <sheetViews>
    <sheetView tabSelected="1" workbookViewId="0">
      <selection activeCell="H10" sqref="H10"/>
    </sheetView>
  </sheetViews>
  <sheetFormatPr defaultRowHeight="15" x14ac:dyDescent="0.55000000000000004"/>
  <cols>
    <col min="1" max="1" width="10.06640625" bestFit="1" customWidth="1"/>
    <col min="2" max="2" width="9.6640625" bestFit="1" customWidth="1"/>
    <col min="3" max="3" width="6.86328125" bestFit="1" customWidth="1"/>
    <col min="4" max="4" width="9.06640625" style="127" bestFit="1" customWidth="1"/>
    <col min="5" max="6" width="12.3984375" bestFit="1" customWidth="1"/>
  </cols>
  <sheetData>
    <row r="1" spans="1:6" ht="15.4" thickBot="1" x14ac:dyDescent="0.6">
      <c r="A1" s="128" t="s">
        <v>195</v>
      </c>
      <c r="B1" s="128" t="s">
        <v>188</v>
      </c>
      <c r="C1" s="128" t="s">
        <v>196</v>
      </c>
      <c r="D1" s="129" t="s">
        <v>199</v>
      </c>
      <c r="E1" s="128" t="s">
        <v>197</v>
      </c>
      <c r="F1" s="128" t="s">
        <v>198</v>
      </c>
    </row>
    <row r="2" spans="1:6" ht="15.4" thickBot="1" x14ac:dyDescent="0.6">
      <c r="A2" s="130">
        <v>39903</v>
      </c>
      <c r="B2" s="128">
        <v>7.59</v>
      </c>
      <c r="C2" s="128">
        <v>15.97</v>
      </c>
      <c r="D2" s="129">
        <v>0.52473387601753285</v>
      </c>
      <c r="E2" s="129">
        <v>0.2</v>
      </c>
      <c r="F2" s="129">
        <v>0.2</v>
      </c>
    </row>
    <row r="3" spans="1:6" ht="15.4" thickBot="1" x14ac:dyDescent="0.6">
      <c r="A3" s="130">
        <v>39994</v>
      </c>
      <c r="B3" s="128">
        <v>10.26</v>
      </c>
      <c r="C3" s="128">
        <v>19.190000000000001</v>
      </c>
      <c r="D3" s="129">
        <v>0.46534653465346537</v>
      </c>
      <c r="E3" s="129">
        <f>(B3-B2)/B2</f>
        <v>0.35177865612648224</v>
      </c>
      <c r="F3" s="129">
        <f>(C3-C2)/C2</f>
        <v>0.20162805259862246</v>
      </c>
    </row>
    <row r="4" spans="1:6" ht="15.4" thickBot="1" x14ac:dyDescent="0.6">
      <c r="A4" s="130">
        <v>40086</v>
      </c>
      <c r="B4" s="128">
        <v>12.65</v>
      </c>
      <c r="C4" s="128">
        <v>22.29</v>
      </c>
      <c r="D4" s="129">
        <v>0.43248093315388064</v>
      </c>
      <c r="E4" s="129">
        <f t="shared" ref="E4:E22" si="0">(B4-B3)/B3</f>
        <v>0.23294346978557512</v>
      </c>
      <c r="F4" s="129">
        <f t="shared" ref="F4:F22" si="1">(C4-C3)/C3</f>
        <v>0.1615424700364772</v>
      </c>
    </row>
    <row r="5" spans="1:6" ht="15.4" thickBot="1" x14ac:dyDescent="0.6">
      <c r="A5" s="130">
        <v>40177</v>
      </c>
      <c r="B5" s="128">
        <v>13.58</v>
      </c>
      <c r="C5" s="128">
        <v>24.24</v>
      </c>
      <c r="D5" s="129">
        <v>0.43976897689768973</v>
      </c>
      <c r="E5" s="129">
        <f t="shared" si="0"/>
        <v>7.35177865612648E-2</v>
      </c>
      <c r="F5" s="129">
        <f t="shared" si="1"/>
        <v>8.7483176312247612E-2</v>
      </c>
    </row>
    <row r="6" spans="1:6" ht="15.4" thickBot="1" x14ac:dyDescent="0.6">
      <c r="A6" s="130">
        <v>40268</v>
      </c>
      <c r="B6" s="128">
        <v>12.86</v>
      </c>
      <c r="C6" s="128">
        <v>24.57</v>
      </c>
      <c r="D6" s="129">
        <v>0.47659747659747664</v>
      </c>
      <c r="E6" s="129">
        <f t="shared" si="0"/>
        <v>-5.3019145802651005E-2</v>
      </c>
      <c r="F6" s="129">
        <f t="shared" si="1"/>
        <v>1.361386138613869E-2</v>
      </c>
    </row>
    <row r="7" spans="1:6" ht="15.4" thickBot="1" x14ac:dyDescent="0.6">
      <c r="A7" s="130">
        <v>40359</v>
      </c>
      <c r="B7" s="128">
        <v>13.91</v>
      </c>
      <c r="C7" s="128">
        <v>23.35</v>
      </c>
      <c r="D7" s="129">
        <v>0.40428265524625273</v>
      </c>
      <c r="E7" s="129">
        <f t="shared" si="0"/>
        <v>8.1648522550544389E-2</v>
      </c>
      <c r="F7" s="129">
        <f t="shared" si="1"/>
        <v>-4.9654049654049605E-2</v>
      </c>
    </row>
    <row r="8" spans="1:6" ht="15.4" thickBot="1" x14ac:dyDescent="0.6">
      <c r="A8" s="130">
        <v>40451</v>
      </c>
      <c r="B8" s="128">
        <v>17</v>
      </c>
      <c r="C8" s="128">
        <v>27.86</v>
      </c>
      <c r="D8" s="129">
        <v>0.3898061737257717</v>
      </c>
      <c r="E8" s="129">
        <f t="shared" si="0"/>
        <v>0.22214234363767074</v>
      </c>
      <c r="F8" s="129">
        <f t="shared" si="1"/>
        <v>0.19314775160599562</v>
      </c>
    </row>
    <row r="9" spans="1:6" ht="15.4" thickBot="1" x14ac:dyDescent="0.6">
      <c r="A9" s="130">
        <v>40542</v>
      </c>
      <c r="B9" s="128">
        <v>24.68</v>
      </c>
      <c r="C9" s="128">
        <v>34.950000000000003</v>
      </c>
      <c r="D9" s="129">
        <v>0.29384835479256088</v>
      </c>
      <c r="E9" s="129">
        <f t="shared" si="0"/>
        <v>0.4517647058823529</v>
      </c>
      <c r="F9" s="129">
        <f t="shared" si="1"/>
        <v>0.25448671931084005</v>
      </c>
    </row>
    <row r="10" spans="1:6" ht="15.4" thickBot="1" x14ac:dyDescent="0.6">
      <c r="A10" s="130">
        <v>40633</v>
      </c>
      <c r="B10" s="128">
        <v>21.71</v>
      </c>
      <c r="C10" s="128">
        <v>37.06</v>
      </c>
      <c r="D10" s="129">
        <v>0.4141932002158662</v>
      </c>
      <c r="E10" s="129">
        <f t="shared" si="0"/>
        <v>-0.12034035656401941</v>
      </c>
      <c r="F10" s="129">
        <f t="shared" si="1"/>
        <v>6.0371959942775374E-2</v>
      </c>
    </row>
    <row r="11" spans="1:6" ht="15.4" thickBot="1" x14ac:dyDescent="0.6">
      <c r="A11" s="130">
        <v>40724</v>
      </c>
      <c r="B11" s="128">
        <v>21.55</v>
      </c>
      <c r="C11" s="128">
        <v>36.53</v>
      </c>
      <c r="D11" s="129">
        <v>0.4100739118532713</v>
      </c>
      <c r="E11" s="129">
        <f t="shared" si="0"/>
        <v>-7.3698756333486935E-3</v>
      </c>
      <c r="F11" s="129">
        <f t="shared" si="1"/>
        <v>-1.4301133297355668E-2</v>
      </c>
    </row>
    <row r="12" spans="1:6" ht="15.4" thickBot="1" x14ac:dyDescent="0.6">
      <c r="A12" s="130">
        <v>40816</v>
      </c>
      <c r="B12" s="128">
        <v>14.81</v>
      </c>
      <c r="C12" s="128">
        <v>25.17</v>
      </c>
      <c r="D12" s="129">
        <v>0.41160111243543901</v>
      </c>
      <c r="E12" s="129">
        <f t="shared" si="0"/>
        <v>-0.31276102088167052</v>
      </c>
      <c r="F12" s="129">
        <f t="shared" si="1"/>
        <v>-0.31097727894880917</v>
      </c>
    </row>
    <row r="13" spans="1:6" ht="15.4" thickBot="1" x14ac:dyDescent="0.6">
      <c r="A13" s="130">
        <v>40907</v>
      </c>
      <c r="B13" s="128">
        <v>15.55</v>
      </c>
      <c r="C13" s="128">
        <v>26.62</v>
      </c>
      <c r="D13" s="129">
        <v>0.4158527422990233</v>
      </c>
      <c r="E13" s="129">
        <f t="shared" si="0"/>
        <v>4.996623902768401E-2</v>
      </c>
      <c r="F13" s="129">
        <f t="shared" si="1"/>
        <v>5.7608263806118359E-2</v>
      </c>
    </row>
    <row r="14" spans="1:6" ht="15.4" thickBot="1" x14ac:dyDescent="0.6">
      <c r="A14" s="130">
        <v>40998</v>
      </c>
      <c r="B14" s="128">
        <v>18.93</v>
      </c>
      <c r="C14" s="128">
        <v>31.3</v>
      </c>
      <c r="D14" s="129">
        <v>0.39520766773162941</v>
      </c>
      <c r="E14" s="129">
        <f t="shared" si="0"/>
        <v>0.21736334405144686</v>
      </c>
      <c r="F14" s="129">
        <f t="shared" si="1"/>
        <v>0.17580766341096918</v>
      </c>
    </row>
    <row r="15" spans="1:6" ht="15.4" thickBot="1" x14ac:dyDescent="0.6">
      <c r="A15" s="130">
        <v>41089</v>
      </c>
      <c r="B15" s="128">
        <v>16.91</v>
      </c>
      <c r="C15" s="128">
        <v>29.75</v>
      </c>
      <c r="D15" s="129">
        <v>0.43159663865546216</v>
      </c>
      <c r="E15" s="129">
        <f t="shared" si="0"/>
        <v>-0.10670892762810352</v>
      </c>
      <c r="F15" s="129">
        <f t="shared" si="1"/>
        <v>-4.9520766773162958E-2</v>
      </c>
    </row>
    <row r="16" spans="1:6" ht="15.4" thickBot="1" x14ac:dyDescent="0.6">
      <c r="A16" s="130">
        <v>41180</v>
      </c>
      <c r="B16" s="128">
        <v>19.57</v>
      </c>
      <c r="C16" s="128">
        <v>31.12</v>
      </c>
      <c r="D16" s="129">
        <v>0.37114395886889462</v>
      </c>
      <c r="E16" s="129">
        <f t="shared" si="0"/>
        <v>0.15730337078651685</v>
      </c>
      <c r="F16" s="129">
        <f t="shared" si="1"/>
        <v>4.6050420168067263E-2</v>
      </c>
    </row>
    <row r="17" spans="1:6" ht="15.4" thickBot="1" x14ac:dyDescent="0.6">
      <c r="A17" s="130">
        <v>41271</v>
      </c>
      <c r="B17" s="128">
        <v>19</v>
      </c>
      <c r="C17" s="128">
        <v>31.75</v>
      </c>
      <c r="D17" s="129">
        <v>0.40157480314960631</v>
      </c>
      <c r="E17" s="129">
        <f t="shared" si="0"/>
        <v>-2.9126213592233025E-2</v>
      </c>
      <c r="F17" s="129">
        <f t="shared" si="1"/>
        <v>2.0244215938303309E-2</v>
      </c>
    </row>
    <row r="18" spans="1:6" ht="15.4" thickBot="1" x14ac:dyDescent="0.6">
      <c r="A18" s="130">
        <v>41361</v>
      </c>
      <c r="B18" s="128">
        <v>21.79</v>
      </c>
      <c r="C18" s="128">
        <v>34.78</v>
      </c>
      <c r="D18" s="129">
        <v>0.37349051178838416</v>
      </c>
      <c r="E18" s="129">
        <f t="shared" si="0"/>
        <v>0.14684210526315786</v>
      </c>
      <c r="F18" s="129">
        <f t="shared" si="1"/>
        <v>9.5433070866141764E-2</v>
      </c>
    </row>
    <row r="19" spans="1:6" ht="15.4" thickBot="1" x14ac:dyDescent="0.6">
      <c r="A19" s="130">
        <v>41453</v>
      </c>
      <c r="B19" s="128">
        <v>22.72</v>
      </c>
      <c r="C19" s="128">
        <v>35.47</v>
      </c>
      <c r="D19" s="129">
        <v>0.35945869749083736</v>
      </c>
      <c r="E19" s="129">
        <f t="shared" si="0"/>
        <v>4.2680128499311597E-2</v>
      </c>
      <c r="F19" s="129">
        <f t="shared" si="1"/>
        <v>1.9838987924094241E-2</v>
      </c>
    </row>
    <row r="20" spans="1:6" ht="15.4" thickBot="1" x14ac:dyDescent="0.6">
      <c r="A20" s="130">
        <v>41547</v>
      </c>
      <c r="B20" s="128">
        <v>27.73</v>
      </c>
      <c r="C20" s="128">
        <v>38.04</v>
      </c>
      <c r="D20" s="129">
        <v>0.27103049421661407</v>
      </c>
      <c r="E20" s="129">
        <f t="shared" si="0"/>
        <v>0.22051056338028177</v>
      </c>
      <c r="F20" s="129">
        <f t="shared" si="1"/>
        <v>7.2455596278545253E-2</v>
      </c>
    </row>
    <row r="21" spans="1:6" ht="15.4" thickBot="1" x14ac:dyDescent="0.6">
      <c r="A21" s="130">
        <v>41639</v>
      </c>
      <c r="B21" s="128">
        <v>28.91</v>
      </c>
      <c r="C21" s="128">
        <v>36.770000000000003</v>
      </c>
      <c r="D21" s="129">
        <v>0.2137612183845527</v>
      </c>
      <c r="E21" s="129">
        <f t="shared" si="0"/>
        <v>4.2553191489361694E-2</v>
      </c>
      <c r="F21" s="129">
        <f t="shared" si="1"/>
        <v>-3.3385909568874765E-2</v>
      </c>
    </row>
    <row r="22" spans="1:6" ht="15.4" thickBot="1" x14ac:dyDescent="0.6">
      <c r="A22" s="130">
        <v>41729</v>
      </c>
      <c r="B22" s="128">
        <v>32.58</v>
      </c>
      <c r="C22" s="128">
        <v>40.99</v>
      </c>
      <c r="D22" s="129">
        <v>0.2051719931690657</v>
      </c>
      <c r="E22" s="129">
        <f t="shared" si="0"/>
        <v>0.12694569353164989</v>
      </c>
      <c r="F22" s="129">
        <f t="shared" si="1"/>
        <v>0.11476747348381829</v>
      </c>
    </row>
    <row r="23" spans="1:6" ht="15.4" thickBot="1" x14ac:dyDescent="0.6">
      <c r="A23" s="130">
        <v>41820</v>
      </c>
      <c r="B23" s="128">
        <v>29.99</v>
      </c>
      <c r="C23" s="128">
        <v>37.770000000000003</v>
      </c>
      <c r="D23" s="129">
        <v>0.2059835848557057</v>
      </c>
      <c r="E23" s="129">
        <v>-7.9496623695518687E-2</v>
      </c>
      <c r="F23" s="129">
        <f>(C23-C22)/C22</f>
        <v>-7.8555745303732591E-2</v>
      </c>
    </row>
    <row r="24" spans="1:6" ht="15.4" thickBot="1" x14ac:dyDescent="0.6">
      <c r="A24" s="130">
        <v>41912</v>
      </c>
      <c r="B24" s="128">
        <v>30.74</v>
      </c>
      <c r="C24" s="128">
        <v>36.93</v>
      </c>
      <c r="D24" s="129">
        <v>0.16761440563227731</v>
      </c>
      <c r="E24" s="129">
        <v>-5.6476365868631029E-2</v>
      </c>
      <c r="F24" s="129">
        <v>-9.9048548426445504E-2</v>
      </c>
    </row>
    <row r="25" spans="1:6" ht="15.4" thickBot="1" x14ac:dyDescent="0.6">
      <c r="A25" s="130">
        <v>42004</v>
      </c>
      <c r="B25" s="128">
        <v>34.04</v>
      </c>
      <c r="C25" s="128">
        <v>42.12</v>
      </c>
      <c r="D25" s="129">
        <v>0.19183285849952514</v>
      </c>
      <c r="E25" s="129">
        <v>4.4812768569674644E-2</v>
      </c>
      <c r="F25" s="129">
        <v>2.7567699438887372E-2</v>
      </c>
    </row>
    <row r="26" spans="1:6" ht="15.4" thickBot="1" x14ac:dyDescent="0.6">
      <c r="A26" s="130">
        <v>42094</v>
      </c>
      <c r="B26" s="128">
        <v>42.29</v>
      </c>
      <c r="C26" s="128">
        <v>55.04</v>
      </c>
      <c r="D26" s="129">
        <v>0.23164970930232559</v>
      </c>
      <c r="E26" s="129">
        <v>0.29803560466543888</v>
      </c>
      <c r="F26" s="129">
        <f>(C26-C22)/C22</f>
        <v>0.34276652842156613</v>
      </c>
    </row>
    <row r="27" spans="1:6" ht="15.4" thickBot="1" x14ac:dyDescent="0.6">
      <c r="A27" s="130">
        <v>42185</v>
      </c>
      <c r="B27" s="128">
        <v>42.82</v>
      </c>
      <c r="C27" s="128">
        <v>53.18</v>
      </c>
      <c r="D27" s="129">
        <v>0.19481007897705904</v>
      </c>
      <c r="E27" s="129">
        <v>0.31430325352977295</v>
      </c>
      <c r="F27" s="129">
        <f t="shared" ref="F27:F66" si="2">(C27-C23)/C23</f>
        <v>0.40799576383373037</v>
      </c>
    </row>
    <row r="28" spans="1:6" ht="15.4" thickBot="1" x14ac:dyDescent="0.6">
      <c r="A28" s="130">
        <v>42277</v>
      </c>
      <c r="B28" s="128">
        <v>38.979999999999997</v>
      </c>
      <c r="C28" s="128">
        <v>46.06</v>
      </c>
      <c r="D28" s="129">
        <v>0.15371254884932709</v>
      </c>
      <c r="E28" s="129">
        <v>0.19643953345610798</v>
      </c>
      <c r="F28" s="129">
        <f t="shared" si="2"/>
        <v>0.24722447874356898</v>
      </c>
    </row>
    <row r="29" spans="1:6" ht="15.4" thickBot="1" x14ac:dyDescent="0.6">
      <c r="A29" s="130">
        <v>42369</v>
      </c>
      <c r="B29" s="128">
        <v>42.09</v>
      </c>
      <c r="C29" s="128">
        <v>50.9</v>
      </c>
      <c r="D29" s="129">
        <v>0.17308447937131621</v>
      </c>
      <c r="E29" s="129">
        <v>0.29189686924493574</v>
      </c>
      <c r="F29" s="129">
        <f t="shared" si="2"/>
        <v>0.20845204178537516</v>
      </c>
    </row>
    <row r="30" spans="1:6" ht="15.4" thickBot="1" x14ac:dyDescent="0.6">
      <c r="A30" s="130">
        <v>42460</v>
      </c>
      <c r="B30" s="128">
        <v>31.5</v>
      </c>
      <c r="C30" s="128">
        <v>45.15</v>
      </c>
      <c r="D30" s="129">
        <v>0.30232558139534882</v>
      </c>
      <c r="E30" s="129">
        <v>-3.3149171270718147E-2</v>
      </c>
      <c r="F30" s="129">
        <f t="shared" si="2"/>
        <v>-0.1796875</v>
      </c>
    </row>
    <row r="31" spans="1:6" ht="15.4" thickBot="1" x14ac:dyDescent="0.6">
      <c r="A31" s="130">
        <v>42551</v>
      </c>
      <c r="B31" s="128">
        <v>32.979999999999997</v>
      </c>
      <c r="C31" s="128">
        <v>42.98</v>
      </c>
      <c r="D31" s="129">
        <v>0.23266635644485809</v>
      </c>
      <c r="E31" s="129">
        <v>1.2277470841006721E-2</v>
      </c>
      <c r="F31" s="129">
        <f t="shared" si="2"/>
        <v>-0.19180142910868753</v>
      </c>
    </row>
    <row r="32" spans="1:6" ht="15.4" thickBot="1" x14ac:dyDescent="0.6">
      <c r="A32" s="130">
        <v>42643</v>
      </c>
      <c r="B32" s="128">
        <v>36.049999999999997</v>
      </c>
      <c r="C32" s="128">
        <v>44.84</v>
      </c>
      <c r="D32" s="129">
        <v>0.19603033006244436</v>
      </c>
      <c r="E32" s="129">
        <v>0.10650705954573358</v>
      </c>
      <c r="F32" s="129">
        <f t="shared" si="2"/>
        <v>-2.6487190620929198E-2</v>
      </c>
    </row>
    <row r="33" spans="1:6" ht="15.4" thickBot="1" x14ac:dyDescent="0.6">
      <c r="A33" s="130">
        <v>42734</v>
      </c>
      <c r="B33" s="128">
        <v>40.98</v>
      </c>
      <c r="C33" s="128">
        <v>57.64</v>
      </c>
      <c r="D33" s="129">
        <v>0.28903539208882728</v>
      </c>
      <c r="E33" s="129">
        <v>0.25782688766114181</v>
      </c>
      <c r="F33" s="129">
        <f t="shared" si="2"/>
        <v>0.13241650294695487</v>
      </c>
    </row>
    <row r="34" spans="1:6" ht="15.4" thickBot="1" x14ac:dyDescent="0.6">
      <c r="A34" s="130">
        <v>42825</v>
      </c>
      <c r="B34" s="128">
        <v>48.48</v>
      </c>
      <c r="C34" s="128">
        <v>57.63</v>
      </c>
      <c r="D34" s="129">
        <v>0.15877147319104642</v>
      </c>
      <c r="E34" s="129">
        <v>0.48802946593001839</v>
      </c>
      <c r="F34" s="129">
        <f t="shared" si="2"/>
        <v>0.27641196013289049</v>
      </c>
    </row>
    <row r="35" spans="1:6" ht="15.4" thickBot="1" x14ac:dyDescent="0.6">
      <c r="A35" s="130">
        <v>42916</v>
      </c>
      <c r="B35" s="128">
        <v>47.39</v>
      </c>
      <c r="C35" s="128">
        <v>57.63</v>
      </c>
      <c r="D35" s="129">
        <v>0.17768523338538958</v>
      </c>
      <c r="E35" s="129">
        <v>0.45457335788827513</v>
      </c>
      <c r="F35" s="129">
        <f t="shared" si="2"/>
        <v>0.34085621219171724</v>
      </c>
    </row>
    <row r="36" spans="1:6" ht="15.4" thickBot="1" x14ac:dyDescent="0.6">
      <c r="A36" s="130">
        <v>43007</v>
      </c>
      <c r="B36" s="128">
        <v>53.65</v>
      </c>
      <c r="C36" s="128">
        <v>79.48</v>
      </c>
      <c r="D36" s="129">
        <v>0.32498741821841975</v>
      </c>
      <c r="E36" s="129">
        <v>0.64671577655003065</v>
      </c>
      <c r="F36" s="129">
        <f t="shared" si="2"/>
        <v>0.77252453166815338</v>
      </c>
    </row>
    <row r="37" spans="1:6" ht="15.4" thickBot="1" x14ac:dyDescent="0.6">
      <c r="A37" s="130">
        <v>43098</v>
      </c>
      <c r="B37" s="128">
        <v>51.1</v>
      </c>
      <c r="C37" s="128">
        <v>79.48</v>
      </c>
      <c r="D37" s="129">
        <v>0.35707096124811277</v>
      </c>
      <c r="E37" s="129">
        <v>0.56844689993861275</v>
      </c>
      <c r="F37" s="129">
        <f t="shared" si="2"/>
        <v>0.37890353920888276</v>
      </c>
    </row>
    <row r="38" spans="1:6" ht="15.4" thickBot="1" x14ac:dyDescent="0.6">
      <c r="A38" s="130">
        <v>43188</v>
      </c>
      <c r="B38" s="128">
        <v>57.72</v>
      </c>
      <c r="C38" s="128">
        <v>85.09</v>
      </c>
      <c r="D38" s="129">
        <v>0.32165941943824189</v>
      </c>
      <c r="E38" s="129">
        <v>0.77163904235727454</v>
      </c>
      <c r="F38" s="129">
        <f t="shared" si="2"/>
        <v>0.47648794030886693</v>
      </c>
    </row>
    <row r="39" spans="1:6" ht="15.4" thickBot="1" x14ac:dyDescent="0.6">
      <c r="A39" s="130">
        <v>43280</v>
      </c>
      <c r="B39" s="128">
        <v>57.7</v>
      </c>
      <c r="C39" s="128">
        <v>85.09</v>
      </c>
      <c r="D39" s="129">
        <v>0.32189446468445176</v>
      </c>
      <c r="E39" s="129">
        <v>0.77102516881522432</v>
      </c>
      <c r="F39" s="129">
        <f t="shared" si="2"/>
        <v>0.47648794030886693</v>
      </c>
    </row>
    <row r="40" spans="1:6" ht="15.4" thickBot="1" x14ac:dyDescent="0.6">
      <c r="A40" s="130">
        <v>43371</v>
      </c>
      <c r="B40" s="128">
        <v>57.82</v>
      </c>
      <c r="C40" s="128">
        <v>71.89</v>
      </c>
      <c r="D40" s="129">
        <v>0.19571567672833495</v>
      </c>
      <c r="E40" s="129">
        <v>0.77470841006752611</v>
      </c>
      <c r="F40" s="129">
        <f t="shared" si="2"/>
        <v>-9.549572219426275E-2</v>
      </c>
    </row>
    <row r="41" spans="1:6" ht="15.4" thickBot="1" x14ac:dyDescent="0.6">
      <c r="A41" s="130">
        <v>43465</v>
      </c>
      <c r="B41" s="128">
        <v>47.26</v>
      </c>
      <c r="C41" s="128">
        <v>71.89</v>
      </c>
      <c r="D41" s="129">
        <v>0.34260676032827936</v>
      </c>
      <c r="E41" s="129">
        <v>0.45058317986494778</v>
      </c>
      <c r="F41" s="129">
        <f t="shared" si="2"/>
        <v>-9.549572219426275E-2</v>
      </c>
    </row>
    <row r="42" spans="1:6" ht="15.4" thickBot="1" x14ac:dyDescent="0.6">
      <c r="A42" s="130">
        <v>43553</v>
      </c>
      <c r="B42" s="128">
        <v>57.9</v>
      </c>
      <c r="C42" s="128">
        <v>88.8</v>
      </c>
      <c r="D42" s="129">
        <v>0.34797297297297297</v>
      </c>
      <c r="E42" s="129">
        <v>0.77716390423572745</v>
      </c>
      <c r="F42" s="129">
        <f t="shared" si="2"/>
        <v>4.3600893171935523E-2</v>
      </c>
    </row>
    <row r="43" spans="1:6" ht="15.4" thickBot="1" x14ac:dyDescent="0.6">
      <c r="A43" s="130">
        <v>43644</v>
      </c>
      <c r="B43" s="128">
        <v>61.6</v>
      </c>
      <c r="C43" s="128">
        <v>88.8</v>
      </c>
      <c r="D43" s="129">
        <v>0.30630630630630629</v>
      </c>
      <c r="E43" s="129">
        <v>0.89073050951503996</v>
      </c>
      <c r="F43" s="129">
        <f t="shared" si="2"/>
        <v>4.3600893171935523E-2</v>
      </c>
    </row>
    <row r="44" spans="1:6" ht="15.4" thickBot="1" x14ac:dyDescent="0.6">
      <c r="A44" s="130">
        <v>43738</v>
      </c>
      <c r="B44" s="128">
        <v>61.48</v>
      </c>
      <c r="C44" s="128">
        <v>98.6</v>
      </c>
      <c r="D44" s="129">
        <v>0.37647058823529411</v>
      </c>
      <c r="E44" s="129">
        <v>0.88704726826273794</v>
      </c>
      <c r="F44" s="129">
        <f t="shared" si="2"/>
        <v>0.37153985255251071</v>
      </c>
    </row>
    <row r="45" spans="1:6" ht="15.4" thickBot="1" x14ac:dyDescent="0.6">
      <c r="A45" s="130">
        <v>43830</v>
      </c>
      <c r="B45" s="128">
        <v>69.08</v>
      </c>
      <c r="C45" s="128">
        <v>98.6</v>
      </c>
      <c r="D45" s="129">
        <v>0.29939148073022309</v>
      </c>
      <c r="E45" s="129">
        <v>1.1203192142418663</v>
      </c>
      <c r="F45" s="129">
        <f t="shared" si="2"/>
        <v>0.37153985255251071</v>
      </c>
    </row>
    <row r="46" spans="1:6" ht="15.4" thickBot="1" x14ac:dyDescent="0.6">
      <c r="A46" s="130">
        <v>43921</v>
      </c>
      <c r="B46" s="128">
        <v>47</v>
      </c>
      <c r="C46" s="128">
        <v>79.25</v>
      </c>
      <c r="D46" s="129">
        <v>0.40694006309148267</v>
      </c>
      <c r="E46" s="129">
        <v>0.44260282381829352</v>
      </c>
      <c r="F46" s="129">
        <f t="shared" si="2"/>
        <v>-0.10754504504504502</v>
      </c>
    </row>
    <row r="47" spans="1:6" ht="15.4" thickBot="1" x14ac:dyDescent="0.6">
      <c r="A47" s="130">
        <v>44012</v>
      </c>
      <c r="B47" s="128">
        <v>50.84</v>
      </c>
      <c r="C47" s="128">
        <v>79.25</v>
      </c>
      <c r="D47" s="129">
        <v>0.35848580441640376</v>
      </c>
      <c r="E47" s="129">
        <v>0.56046654389195849</v>
      </c>
      <c r="F47" s="129">
        <f t="shared" si="2"/>
        <v>-0.10754504504504502</v>
      </c>
    </row>
    <row r="48" spans="1:6" ht="15.4" thickBot="1" x14ac:dyDescent="0.6">
      <c r="A48" s="130">
        <v>44104</v>
      </c>
      <c r="B48" s="128">
        <v>46.48</v>
      </c>
      <c r="C48" s="128">
        <v>102.08</v>
      </c>
      <c r="D48" s="129">
        <v>0.54467084639498431</v>
      </c>
      <c r="E48" s="129">
        <v>0.42664211172498456</v>
      </c>
      <c r="F48" s="129">
        <f t="shared" si="2"/>
        <v>3.5294117647058865E-2</v>
      </c>
    </row>
    <row r="49" spans="1:6" ht="15.4" thickBot="1" x14ac:dyDescent="0.6">
      <c r="A49" s="130">
        <v>44196</v>
      </c>
      <c r="B49" s="128">
        <v>66.22</v>
      </c>
      <c r="C49" s="128">
        <v>102.08</v>
      </c>
      <c r="D49" s="129">
        <v>0.35129310344827586</v>
      </c>
      <c r="E49" s="129">
        <v>1.0325352977286681</v>
      </c>
      <c r="F49" s="129">
        <f t="shared" si="2"/>
        <v>3.5294117647058865E-2</v>
      </c>
    </row>
    <row r="50" spans="1:6" ht="15.4" thickBot="1" x14ac:dyDescent="0.6">
      <c r="A50" s="130">
        <v>44286</v>
      </c>
      <c r="B50" s="128">
        <v>71.94</v>
      </c>
      <c r="C50" s="128">
        <v>114.89</v>
      </c>
      <c r="D50" s="129">
        <v>0.37383584298024197</v>
      </c>
      <c r="E50" s="129">
        <v>1.2081031307550645</v>
      </c>
      <c r="F50" s="129">
        <f t="shared" si="2"/>
        <v>0.44971608832807569</v>
      </c>
    </row>
    <row r="51" spans="1:6" ht="15.4" thickBot="1" x14ac:dyDescent="0.6">
      <c r="A51" s="130">
        <v>44377</v>
      </c>
      <c r="B51" s="128">
        <v>67.56</v>
      </c>
      <c r="C51" s="128">
        <v>114.89</v>
      </c>
      <c r="D51" s="129">
        <v>0.41195926538428063</v>
      </c>
      <c r="E51" s="129">
        <v>1.0736648250460408</v>
      </c>
      <c r="F51" s="129">
        <f t="shared" si="2"/>
        <v>0.44971608832807569</v>
      </c>
    </row>
    <row r="52" spans="1:6" ht="15.4" thickBot="1" x14ac:dyDescent="0.6">
      <c r="A52" s="130">
        <v>44469</v>
      </c>
      <c r="B52" s="128">
        <v>72.92</v>
      </c>
      <c r="C52" s="128">
        <v>132.41</v>
      </c>
      <c r="D52" s="129">
        <v>0.44928630768068872</v>
      </c>
      <c r="E52" s="129">
        <v>1.2381829343155313</v>
      </c>
      <c r="F52" s="129">
        <f t="shared" si="2"/>
        <v>0.29711990595611282</v>
      </c>
    </row>
    <row r="53" spans="1:6" ht="15.4" thickBot="1" x14ac:dyDescent="0.6">
      <c r="A53" s="130">
        <v>44561</v>
      </c>
      <c r="B53" s="128">
        <v>78.959999999999994</v>
      </c>
      <c r="C53" s="128">
        <v>132.41</v>
      </c>
      <c r="D53" s="129">
        <v>0.4036704176421721</v>
      </c>
      <c r="E53" s="129">
        <v>1.423572744014733</v>
      </c>
      <c r="F53" s="129">
        <f t="shared" si="2"/>
        <v>0.29711990595611282</v>
      </c>
    </row>
    <row r="54" spans="1:6" ht="15.4" thickBot="1" x14ac:dyDescent="0.6">
      <c r="A54" s="130">
        <v>44651</v>
      </c>
      <c r="B54" s="128">
        <v>69.5</v>
      </c>
      <c r="C54" s="128">
        <v>109.41</v>
      </c>
      <c r="D54" s="129">
        <v>0.36477470066721507</v>
      </c>
      <c r="E54" s="129">
        <v>1.1332105586249233</v>
      </c>
      <c r="F54" s="129">
        <f t="shared" si="2"/>
        <v>-4.7697797893637428E-2</v>
      </c>
    </row>
    <row r="55" spans="1:6" ht="15.4" thickBot="1" x14ac:dyDescent="0.6">
      <c r="A55" s="130">
        <v>44742</v>
      </c>
      <c r="B55" s="128">
        <v>59.48</v>
      </c>
      <c r="C55" s="128">
        <v>109.41</v>
      </c>
      <c r="D55" s="129">
        <v>0.45635682295951013</v>
      </c>
      <c r="E55" s="129">
        <v>0.82565991405770411</v>
      </c>
      <c r="F55" s="129">
        <f t="shared" si="2"/>
        <v>-4.7697797893637428E-2</v>
      </c>
    </row>
    <row r="56" spans="1:6" ht="15.4" thickBot="1" x14ac:dyDescent="0.6">
      <c r="A56" s="130">
        <v>44834</v>
      </c>
      <c r="B56" s="128">
        <v>65.48</v>
      </c>
      <c r="C56" s="128">
        <v>122.34</v>
      </c>
      <c r="D56" s="129">
        <v>0.46477031224456433</v>
      </c>
      <c r="E56" s="129">
        <v>1.0098219766728058</v>
      </c>
      <c r="F56" s="129">
        <f t="shared" si="2"/>
        <v>-7.6051657729778663E-2</v>
      </c>
    </row>
    <row r="57" spans="1:6" ht="15.4" thickBot="1" x14ac:dyDescent="0.6">
      <c r="A57" s="130">
        <v>44925</v>
      </c>
      <c r="B57" s="128">
        <v>68.3</v>
      </c>
      <c r="C57" s="128">
        <v>122.34</v>
      </c>
      <c r="D57" s="129">
        <v>0.44171979728625149</v>
      </c>
      <c r="E57" s="129">
        <v>1.0963781461019031</v>
      </c>
      <c r="F57" s="129">
        <f t="shared" si="2"/>
        <v>-7.6051657729778663E-2</v>
      </c>
    </row>
    <row r="58" spans="1:6" ht="15.4" thickBot="1" x14ac:dyDescent="0.6">
      <c r="A58" s="130">
        <v>45016</v>
      </c>
      <c r="B58" s="128">
        <v>75.84</v>
      </c>
      <c r="C58" s="128">
        <v>150.21</v>
      </c>
      <c r="D58" s="129">
        <v>0.49510685040942681</v>
      </c>
      <c r="E58" s="129">
        <v>1.3278084714548806</v>
      </c>
      <c r="F58" s="129">
        <f t="shared" si="2"/>
        <v>0.37290924047162061</v>
      </c>
    </row>
    <row r="59" spans="1:6" ht="15.4" thickBot="1" x14ac:dyDescent="0.6">
      <c r="A59" s="130">
        <v>45107</v>
      </c>
      <c r="B59" s="128">
        <v>81.680000000000007</v>
      </c>
      <c r="C59" s="128">
        <v>150.21</v>
      </c>
      <c r="D59" s="129">
        <v>0.45622794754011048</v>
      </c>
      <c r="E59" s="129">
        <v>1.5070595457335791</v>
      </c>
      <c r="F59" s="129">
        <f t="shared" si="2"/>
        <v>0.37290924047162061</v>
      </c>
    </row>
    <row r="60" spans="1:6" ht="15.4" thickBot="1" x14ac:dyDescent="0.6">
      <c r="A60" s="130">
        <v>45198</v>
      </c>
      <c r="B60" s="128">
        <v>83.94</v>
      </c>
      <c r="C60" s="128">
        <v>162.36000000000001</v>
      </c>
      <c r="D60" s="129">
        <v>0.48300073909830016</v>
      </c>
      <c r="E60" s="129">
        <v>1.576427255985267</v>
      </c>
      <c r="F60" s="129">
        <f t="shared" si="2"/>
        <v>0.32712113781265334</v>
      </c>
    </row>
    <row r="61" spans="1:6" ht="15.4" thickBot="1" x14ac:dyDescent="0.6">
      <c r="A61" s="130">
        <v>45289</v>
      </c>
      <c r="B61" s="128">
        <v>90.5</v>
      </c>
      <c r="C61" s="128">
        <v>162.36000000000001</v>
      </c>
      <c r="D61" s="129">
        <v>0.44259669869425972</v>
      </c>
      <c r="E61" s="129">
        <v>1.7777777777777781</v>
      </c>
      <c r="F61" s="129">
        <f t="shared" si="2"/>
        <v>0.32712113781265334</v>
      </c>
    </row>
    <row r="62" spans="1:6" ht="15.4" thickBot="1" x14ac:dyDescent="0.6">
      <c r="A62" s="130">
        <v>45379</v>
      </c>
      <c r="B62" s="128">
        <v>103.05</v>
      </c>
      <c r="C62" s="128">
        <v>178.46</v>
      </c>
      <c r="D62" s="129">
        <v>0.42255967723859694</v>
      </c>
      <c r="E62" s="129">
        <v>2.1629834254143647</v>
      </c>
      <c r="F62" s="129">
        <f t="shared" si="2"/>
        <v>0.18807003528393582</v>
      </c>
    </row>
    <row r="63" spans="1:6" ht="15.4" thickBot="1" x14ac:dyDescent="0.6">
      <c r="A63" s="130">
        <v>45471</v>
      </c>
      <c r="B63" s="128">
        <v>97.7</v>
      </c>
      <c r="C63" s="128">
        <v>178.46</v>
      </c>
      <c r="D63" s="129">
        <v>0.4525383839515858</v>
      </c>
      <c r="E63" s="129">
        <v>1.9987722529158995</v>
      </c>
      <c r="F63" s="129">
        <f t="shared" si="2"/>
        <v>0.18807003528393582</v>
      </c>
    </row>
    <row r="64" spans="1:6" ht="15.4" thickBot="1" x14ac:dyDescent="0.6">
      <c r="A64" s="130">
        <v>45565</v>
      </c>
      <c r="B64" s="128">
        <v>96.15</v>
      </c>
      <c r="C64" s="128">
        <v>178.78</v>
      </c>
      <c r="D64" s="129">
        <v>0.46218816422418613</v>
      </c>
      <c r="E64" s="129">
        <v>1.9511970534069984</v>
      </c>
      <c r="F64" s="129">
        <f t="shared" si="2"/>
        <v>0.10113328406011324</v>
      </c>
    </row>
    <row r="65" spans="1:8" ht="15.4" thickBot="1" x14ac:dyDescent="0.6">
      <c r="A65" s="130">
        <v>45657</v>
      </c>
      <c r="B65" s="128">
        <v>88.55</v>
      </c>
      <c r="C65" s="128">
        <v>178.78</v>
      </c>
      <c r="D65" s="129">
        <v>0.50469851213782302</v>
      </c>
      <c r="E65" s="129">
        <v>1.7179251074278699</v>
      </c>
      <c r="F65" s="129">
        <f t="shared" si="2"/>
        <v>0.10113328406011324</v>
      </c>
    </row>
    <row r="66" spans="1:8" ht="15.4" thickBot="1" x14ac:dyDescent="0.6">
      <c r="A66" s="130">
        <v>45838</v>
      </c>
      <c r="B66" s="131">
        <v>84.8</v>
      </c>
      <c r="C66" s="128">
        <v>180.42</v>
      </c>
      <c r="D66" s="129">
        <f>1-B66/C66</f>
        <v>0.5299855891808003</v>
      </c>
      <c r="E66" s="129">
        <f>B66/B22-1</f>
        <v>1.6028238182934316</v>
      </c>
      <c r="F66" s="129">
        <f t="shared" si="2"/>
        <v>1.0982853300459372E-2</v>
      </c>
    </row>
    <row r="67" spans="1:8" ht="15.4" thickBot="1" x14ac:dyDescent="0.6">
      <c r="A67" s="130">
        <v>46045</v>
      </c>
      <c r="B67" s="128">
        <v>70.5</v>
      </c>
      <c r="C67" s="128">
        <v>160.38999999999999</v>
      </c>
      <c r="D67" s="129">
        <f>1-B67/C67</f>
        <v>0.56044641187106425</v>
      </c>
      <c r="E67" s="129">
        <f>B67/B23-1</f>
        <v>1.3507835945315105</v>
      </c>
      <c r="F67" s="129">
        <f>(C67-C65)/C65</f>
        <v>-0.10286385501733983</v>
      </c>
    </row>
    <row r="68" spans="1:8" x14ac:dyDescent="0.55000000000000004">
      <c r="D68" s="132"/>
      <c r="F68" s="134"/>
    </row>
    <row r="69" spans="1:8" x14ac:dyDescent="0.55000000000000004">
      <c r="D69" s="132"/>
      <c r="H69" s="127"/>
    </row>
    <row r="70" spans="1:8" x14ac:dyDescent="0.55000000000000004">
      <c r="H70" s="127"/>
    </row>
    <row r="71" spans="1:8" x14ac:dyDescent="0.55000000000000004">
      <c r="H71" s="12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8CE47-BD36-480D-B460-C2D93BA0A5AD}">
  <dimension ref="A1:H94"/>
  <sheetViews>
    <sheetView zoomScale="130" zoomScaleNormal="130" workbookViewId="0">
      <selection activeCell="J7" sqref="J7"/>
    </sheetView>
  </sheetViews>
  <sheetFormatPr defaultRowHeight="15" x14ac:dyDescent="0.55000000000000004"/>
  <cols>
    <col min="1" max="1" width="22.265625" bestFit="1" customWidth="1"/>
    <col min="2" max="2" width="7.06640625" bestFit="1" customWidth="1"/>
    <col min="3" max="3" width="7" bestFit="1" customWidth="1"/>
    <col min="4" max="4" width="7.46484375" bestFit="1" customWidth="1"/>
    <col min="5" max="5" width="6.86328125" bestFit="1" customWidth="1"/>
    <col min="6" max="6" width="7.19921875" bestFit="1" customWidth="1"/>
    <col min="7" max="8" width="6.86328125" bestFit="1" customWidth="1"/>
  </cols>
  <sheetData>
    <row r="1" spans="1:7" x14ac:dyDescent="0.55000000000000004">
      <c r="A1" s="1" t="s">
        <v>37</v>
      </c>
      <c r="B1" s="2"/>
    </row>
    <row r="2" spans="1:7" x14ac:dyDescent="0.55000000000000004">
      <c r="A2" s="1" t="s">
        <v>38</v>
      </c>
      <c r="B2" s="2"/>
    </row>
    <row r="4" spans="1:7" x14ac:dyDescent="0.55000000000000004">
      <c r="A4" s="71" t="s">
        <v>146</v>
      </c>
      <c r="B4" s="25">
        <v>43830</v>
      </c>
      <c r="C4" s="25">
        <v>44196</v>
      </c>
      <c r="D4" s="25">
        <v>44561</v>
      </c>
      <c r="E4" s="25">
        <v>44926</v>
      </c>
      <c r="F4" s="25">
        <v>45291</v>
      </c>
      <c r="G4" s="25">
        <v>45657</v>
      </c>
    </row>
    <row r="5" spans="1:7" x14ac:dyDescent="0.55000000000000004">
      <c r="A5" s="24"/>
      <c r="B5" s="3"/>
      <c r="C5" s="3"/>
      <c r="D5" s="3"/>
      <c r="E5" s="3"/>
      <c r="F5" s="3"/>
      <c r="G5" s="3"/>
    </row>
    <row r="6" spans="1:7" x14ac:dyDescent="0.55000000000000004">
      <c r="A6" s="4" t="s">
        <v>0</v>
      </c>
      <c r="B6" s="5">
        <v>143756</v>
      </c>
      <c r="C6" s="5">
        <v>26792</v>
      </c>
      <c r="D6" s="5">
        <v>33617</v>
      </c>
      <c r="E6" s="5">
        <v>41845</v>
      </c>
      <c r="F6" s="5">
        <v>48667</v>
      </c>
      <c r="G6" s="5">
        <v>15195</v>
      </c>
    </row>
    <row r="7" spans="1:7" x14ac:dyDescent="0.55000000000000004">
      <c r="A7" s="6" t="s">
        <v>1</v>
      </c>
      <c r="B7" s="7">
        <v>3.0000000000000001E-3</v>
      </c>
      <c r="C7" s="8">
        <v>-0.81399999999999995</v>
      </c>
      <c r="D7" s="7">
        <v>0.255</v>
      </c>
      <c r="E7" s="7">
        <v>0.245</v>
      </c>
      <c r="F7" s="7">
        <v>0.16300000000000001</v>
      </c>
      <c r="G7" s="8">
        <v>-0.68799999999999994</v>
      </c>
    </row>
    <row r="8" spans="1:7" x14ac:dyDescent="0.55000000000000004">
      <c r="A8" s="9" t="s">
        <v>2</v>
      </c>
      <c r="B8" s="10">
        <v>-121017</v>
      </c>
      <c r="C8" s="10">
        <v>-21937</v>
      </c>
      <c r="D8" s="10">
        <v>-25979</v>
      </c>
      <c r="E8" s="10">
        <v>-32339</v>
      </c>
      <c r="F8" s="10">
        <v>-33434</v>
      </c>
      <c r="G8" s="11"/>
    </row>
    <row r="9" spans="1:7" x14ac:dyDescent="0.55000000000000004">
      <c r="A9" s="4" t="s">
        <v>3</v>
      </c>
      <c r="B9" s="5">
        <v>22739</v>
      </c>
      <c r="C9" s="5">
        <v>4855</v>
      </c>
      <c r="D9" s="5">
        <v>7638</v>
      </c>
      <c r="E9" s="5">
        <v>9506</v>
      </c>
      <c r="F9" s="5">
        <v>11308</v>
      </c>
      <c r="G9" s="12"/>
    </row>
    <row r="10" spans="1:7" x14ac:dyDescent="0.55000000000000004">
      <c r="A10" s="6" t="s">
        <v>1</v>
      </c>
      <c r="B10" s="7">
        <v>3.3000000000000002E-2</v>
      </c>
      <c r="C10" s="8">
        <v>-0.78600000000000003</v>
      </c>
      <c r="D10" s="7">
        <v>0.57299999999999995</v>
      </c>
      <c r="E10" s="7">
        <v>0.245</v>
      </c>
      <c r="F10" s="7">
        <v>0.19</v>
      </c>
      <c r="G10" s="13"/>
    </row>
    <row r="11" spans="1:7" x14ac:dyDescent="0.55000000000000004">
      <c r="A11" s="6" t="s">
        <v>4</v>
      </c>
      <c r="B11" s="7">
        <v>0.158</v>
      </c>
      <c r="C11" s="7">
        <v>0.18099999999999999</v>
      </c>
      <c r="D11" s="7">
        <v>0.22700000000000001</v>
      </c>
      <c r="E11" s="7">
        <v>0.22700000000000001</v>
      </c>
      <c r="F11" s="7">
        <v>0.23200000000000001</v>
      </c>
      <c r="G11" s="13"/>
    </row>
    <row r="12" spans="1:7" x14ac:dyDescent="0.55000000000000004">
      <c r="A12" s="9" t="s">
        <v>5</v>
      </c>
      <c r="B12" s="10">
        <v>-9414</v>
      </c>
      <c r="C12" s="10">
        <v>-2245</v>
      </c>
      <c r="D12" s="10">
        <v>-2673</v>
      </c>
      <c r="E12" s="10">
        <v>-3310</v>
      </c>
      <c r="F12" s="10">
        <v>-39849</v>
      </c>
      <c r="G12" s="14">
        <v>-415</v>
      </c>
    </row>
    <row r="13" spans="1:7" x14ac:dyDescent="0.55000000000000004">
      <c r="A13" s="15" t="s">
        <v>1</v>
      </c>
      <c r="B13" s="16">
        <v>-7.9000000000000001E-2</v>
      </c>
      <c r="C13" s="16">
        <v>-0.76200000000000001</v>
      </c>
      <c r="D13" s="17">
        <v>0.191</v>
      </c>
      <c r="E13" s="17">
        <v>0.23799999999999999</v>
      </c>
      <c r="F13" s="17">
        <v>11.039</v>
      </c>
      <c r="G13" s="16">
        <v>-0.99</v>
      </c>
    </row>
    <row r="14" spans="1:7" x14ac:dyDescent="0.55000000000000004">
      <c r="A14" s="15" t="s">
        <v>6</v>
      </c>
      <c r="B14" s="17">
        <v>6.5000000000000002E-2</v>
      </c>
      <c r="C14" s="17">
        <v>8.4000000000000005E-2</v>
      </c>
      <c r="D14" s="17">
        <v>0.08</v>
      </c>
      <c r="E14" s="17">
        <v>7.9000000000000001E-2</v>
      </c>
      <c r="F14" s="17">
        <v>0.81899999999999995</v>
      </c>
      <c r="G14" s="17">
        <v>2.7E-2</v>
      </c>
    </row>
    <row r="15" spans="1:7" x14ac:dyDescent="0.55000000000000004">
      <c r="A15" s="9" t="s">
        <v>7</v>
      </c>
      <c r="B15" s="10">
        <v>-5287</v>
      </c>
      <c r="C15" s="10">
        <v>-1699</v>
      </c>
      <c r="D15" s="10">
        <v>-1823</v>
      </c>
      <c r="E15" s="10">
        <v>-2088</v>
      </c>
      <c r="F15" s="10">
        <v>-2473</v>
      </c>
      <c r="G15" s="11"/>
    </row>
    <row r="16" spans="1:7" x14ac:dyDescent="0.55000000000000004">
      <c r="A16" s="15" t="s">
        <v>1</v>
      </c>
      <c r="B16" s="17">
        <v>0.14000000000000001</v>
      </c>
      <c r="C16" s="16">
        <v>-0.67900000000000005</v>
      </c>
      <c r="D16" s="17">
        <v>7.2999999999999995E-2</v>
      </c>
      <c r="E16" s="17">
        <v>0.14499999999999999</v>
      </c>
      <c r="F16" s="17">
        <v>0.184</v>
      </c>
      <c r="G16" s="18"/>
    </row>
    <row r="17" spans="1:7" x14ac:dyDescent="0.55000000000000004">
      <c r="A17" s="15" t="s">
        <v>6</v>
      </c>
      <c r="B17" s="17">
        <v>3.6999999999999998E-2</v>
      </c>
      <c r="C17" s="17">
        <v>6.3E-2</v>
      </c>
      <c r="D17" s="17">
        <v>5.3999999999999999E-2</v>
      </c>
      <c r="E17" s="17">
        <v>0.05</v>
      </c>
      <c r="F17" s="17">
        <v>5.0999999999999997E-2</v>
      </c>
      <c r="G17" s="18"/>
    </row>
    <row r="18" spans="1:7" x14ac:dyDescent="0.55000000000000004">
      <c r="A18" s="9" t="s">
        <v>8</v>
      </c>
      <c r="B18" s="11"/>
      <c r="C18" s="11"/>
      <c r="D18" s="11"/>
      <c r="E18" s="11"/>
      <c r="F18" s="14">
        <v>-15</v>
      </c>
      <c r="G18" s="14">
        <v>-17</v>
      </c>
    </row>
    <row r="19" spans="1:7" x14ac:dyDescent="0.55000000000000004">
      <c r="A19" s="15" t="s">
        <v>1</v>
      </c>
      <c r="B19" s="18"/>
      <c r="C19" s="18"/>
      <c r="D19" s="18"/>
      <c r="E19" s="18"/>
      <c r="F19" s="18"/>
      <c r="G19" s="17">
        <v>0.13300000000000001</v>
      </c>
    </row>
    <row r="20" spans="1:7" x14ac:dyDescent="0.55000000000000004">
      <c r="A20" s="15" t="s">
        <v>6</v>
      </c>
      <c r="B20" s="18"/>
      <c r="C20" s="18"/>
      <c r="D20" s="18"/>
      <c r="E20" s="18"/>
      <c r="F20" s="17">
        <v>0</v>
      </c>
      <c r="G20" s="17">
        <v>1E-3</v>
      </c>
    </row>
    <row r="21" spans="1:7" x14ac:dyDescent="0.55000000000000004">
      <c r="A21" s="9" t="s">
        <v>9</v>
      </c>
      <c r="B21" s="11"/>
      <c r="C21" s="11"/>
      <c r="D21" s="11"/>
      <c r="E21" s="11"/>
      <c r="F21" s="19">
        <v>1542</v>
      </c>
      <c r="G21" s="14">
        <v>-1</v>
      </c>
    </row>
    <row r="22" spans="1:7" x14ac:dyDescent="0.55000000000000004">
      <c r="A22" s="4" t="s">
        <v>10</v>
      </c>
      <c r="B22" s="20">
        <v>-14701</v>
      </c>
      <c r="C22" s="20">
        <v>-3944</v>
      </c>
      <c r="D22" s="20">
        <v>-4496</v>
      </c>
      <c r="E22" s="20">
        <v>-5398</v>
      </c>
      <c r="F22" s="20">
        <v>-40795</v>
      </c>
      <c r="G22" s="21">
        <v>-433</v>
      </c>
    </row>
    <row r="23" spans="1:7" x14ac:dyDescent="0.55000000000000004">
      <c r="A23" s="4" t="s">
        <v>11</v>
      </c>
      <c r="B23" s="5">
        <v>8038</v>
      </c>
      <c r="C23" s="12">
        <v>911</v>
      </c>
      <c r="D23" s="5">
        <v>3142</v>
      </c>
      <c r="E23" s="5">
        <v>4108</v>
      </c>
      <c r="F23" s="5">
        <v>5320</v>
      </c>
      <c r="G23" s="12"/>
    </row>
    <row r="24" spans="1:7" x14ac:dyDescent="0.55000000000000004">
      <c r="A24" s="6" t="s">
        <v>1</v>
      </c>
      <c r="B24" s="7">
        <v>0.123</v>
      </c>
      <c r="C24" s="8">
        <v>-0.88700000000000001</v>
      </c>
      <c r="D24" s="7">
        <v>2.4489999999999998</v>
      </c>
      <c r="E24" s="7">
        <v>0.307</v>
      </c>
      <c r="F24" s="7">
        <v>0.29499999999999998</v>
      </c>
      <c r="G24" s="13"/>
    </row>
    <row r="25" spans="1:7" x14ac:dyDescent="0.55000000000000004">
      <c r="A25" s="6" t="s">
        <v>12</v>
      </c>
      <c r="B25" s="7">
        <v>5.6000000000000001E-2</v>
      </c>
      <c r="C25" s="7">
        <v>3.4000000000000002E-2</v>
      </c>
      <c r="D25" s="7">
        <v>9.2999999999999999E-2</v>
      </c>
      <c r="E25" s="7">
        <v>9.8000000000000004E-2</v>
      </c>
      <c r="F25" s="7">
        <v>0.109</v>
      </c>
      <c r="G25" s="13"/>
    </row>
    <row r="26" spans="1:7" x14ac:dyDescent="0.55000000000000004">
      <c r="A26" s="9" t="s">
        <v>13</v>
      </c>
      <c r="B26" s="11"/>
      <c r="C26" s="11"/>
      <c r="D26" s="14">
        <v>-169</v>
      </c>
      <c r="E26" s="14">
        <v>-620</v>
      </c>
      <c r="F26" s="11"/>
      <c r="G26" s="11"/>
    </row>
    <row r="27" spans="1:7" x14ac:dyDescent="0.55000000000000004">
      <c r="A27" s="9" t="s">
        <v>14</v>
      </c>
      <c r="B27" s="14">
        <v>-14</v>
      </c>
      <c r="C27" s="14">
        <v>-173</v>
      </c>
      <c r="D27" s="14">
        <v>-100</v>
      </c>
      <c r="E27" s="14">
        <v>-101</v>
      </c>
      <c r="F27" s="14">
        <v>-336</v>
      </c>
      <c r="G27" s="11"/>
    </row>
    <row r="28" spans="1:7" x14ac:dyDescent="0.55000000000000004">
      <c r="A28" s="9" t="s">
        <v>15</v>
      </c>
      <c r="B28" s="11"/>
      <c r="C28" s="14">
        <v>-56</v>
      </c>
      <c r="D28" s="14">
        <v>-120</v>
      </c>
      <c r="E28" s="14">
        <v>-55</v>
      </c>
      <c r="F28" s="14">
        <v>-106</v>
      </c>
      <c r="G28" s="11"/>
    </row>
    <row r="29" spans="1:7" x14ac:dyDescent="0.55000000000000004">
      <c r="A29" s="9" t="s">
        <v>16</v>
      </c>
      <c r="B29" s="11"/>
      <c r="C29" s="11"/>
      <c r="D29" s="11"/>
      <c r="E29" s="11"/>
      <c r="F29" s="14">
        <v>-32</v>
      </c>
      <c r="G29" s="14">
        <v>-18</v>
      </c>
    </row>
    <row r="30" spans="1:7" x14ac:dyDescent="0.55000000000000004">
      <c r="A30" s="9" t="s">
        <v>17</v>
      </c>
      <c r="B30" s="11"/>
      <c r="C30" s="11"/>
      <c r="D30" s="11"/>
      <c r="E30" s="11"/>
      <c r="F30" s="11"/>
      <c r="G30" s="11"/>
    </row>
    <row r="31" spans="1:7" x14ac:dyDescent="0.55000000000000004">
      <c r="A31" s="9" t="s">
        <v>18</v>
      </c>
      <c r="B31" s="14">
        <v>-1</v>
      </c>
      <c r="C31" s="14">
        <v>-56</v>
      </c>
      <c r="D31" s="14">
        <v>-2</v>
      </c>
      <c r="E31" s="11"/>
      <c r="F31" s="14">
        <v>-28</v>
      </c>
      <c r="G31" s="11"/>
    </row>
    <row r="32" spans="1:7" x14ac:dyDescent="0.55000000000000004">
      <c r="A32" s="9" t="s">
        <v>19</v>
      </c>
      <c r="B32" s="10">
        <v>-1203</v>
      </c>
      <c r="C32" s="14">
        <v>-840</v>
      </c>
      <c r="D32" s="19">
        <v>1902</v>
      </c>
      <c r="E32" s="19">
        <v>2564</v>
      </c>
      <c r="F32" s="19">
        <v>3054</v>
      </c>
      <c r="G32" s="11">
        <v>18</v>
      </c>
    </row>
    <row r="33" spans="1:7" x14ac:dyDescent="0.55000000000000004">
      <c r="A33" s="4" t="s">
        <v>20</v>
      </c>
      <c r="B33" s="5">
        <v>6820</v>
      </c>
      <c r="C33" s="21">
        <v>-214</v>
      </c>
      <c r="D33" s="5">
        <v>4653</v>
      </c>
      <c r="E33" s="5">
        <v>5896</v>
      </c>
      <c r="F33" s="5">
        <v>7872</v>
      </c>
      <c r="G33" s="5">
        <v>14762</v>
      </c>
    </row>
    <row r="34" spans="1:7" x14ac:dyDescent="0.55000000000000004">
      <c r="A34" s="9" t="s">
        <v>21</v>
      </c>
      <c r="B34" s="10">
        <v>-1835</v>
      </c>
      <c r="C34" s="14">
        <v>-16</v>
      </c>
      <c r="D34" s="10">
        <v>-1302</v>
      </c>
      <c r="E34" s="10">
        <v>-1060</v>
      </c>
      <c r="F34" s="10">
        <v>-1095</v>
      </c>
      <c r="G34" s="14">
        <v>-91</v>
      </c>
    </row>
    <row r="35" spans="1:7" x14ac:dyDescent="0.55000000000000004">
      <c r="A35" s="9" t="s">
        <v>22</v>
      </c>
      <c r="B35" s="22">
        <v>0.26900000000000002</v>
      </c>
      <c r="C35" s="23">
        <v>-7.4999999999999997E-2</v>
      </c>
      <c r="D35" s="22">
        <v>0.28000000000000003</v>
      </c>
      <c r="E35" s="22">
        <v>0.18</v>
      </c>
      <c r="F35" s="22">
        <v>0.13900000000000001</v>
      </c>
      <c r="G35" s="22">
        <v>6.0000000000000001E-3</v>
      </c>
    </row>
    <row r="36" spans="1:7" x14ac:dyDescent="0.55000000000000004">
      <c r="A36" s="4" t="s">
        <v>23</v>
      </c>
      <c r="B36" s="5">
        <v>4985</v>
      </c>
      <c r="C36" s="21">
        <v>-230</v>
      </c>
      <c r="D36" s="5">
        <v>3350</v>
      </c>
      <c r="E36" s="5">
        <v>4836</v>
      </c>
      <c r="F36" s="5">
        <v>6777</v>
      </c>
      <c r="G36" s="5">
        <v>14671</v>
      </c>
    </row>
    <row r="37" spans="1:7" x14ac:dyDescent="0.55000000000000004">
      <c r="A37" s="9" t="s">
        <v>24</v>
      </c>
      <c r="B37" s="19">
        <v>3930</v>
      </c>
      <c r="C37" s="11">
        <v>231</v>
      </c>
      <c r="D37" s="11">
        <v>104</v>
      </c>
      <c r="E37" s="19">
        <v>1367</v>
      </c>
      <c r="F37" s="11"/>
      <c r="G37" s="11"/>
    </row>
    <row r="38" spans="1:7" x14ac:dyDescent="0.55000000000000004">
      <c r="A38" s="9" t="s">
        <v>25</v>
      </c>
      <c r="B38" s="10">
        <v>-5862</v>
      </c>
      <c r="C38" s="14">
        <v>-31</v>
      </c>
      <c r="D38" s="10">
        <v>-1737</v>
      </c>
      <c r="E38" s="10">
        <v>-1976</v>
      </c>
      <c r="F38" s="10">
        <v>-2583</v>
      </c>
      <c r="G38" s="11"/>
    </row>
    <row r="39" spans="1:7" x14ac:dyDescent="0.55000000000000004">
      <c r="A39" s="9" t="s">
        <v>26</v>
      </c>
      <c r="B39" s="11"/>
      <c r="C39" s="11"/>
      <c r="D39" s="11"/>
      <c r="E39" s="11"/>
      <c r="F39" s="11"/>
      <c r="G39" s="11"/>
    </row>
    <row r="40" spans="1:7" x14ac:dyDescent="0.55000000000000004">
      <c r="A40" s="4" t="s">
        <v>27</v>
      </c>
      <c r="B40" s="5">
        <v>3053</v>
      </c>
      <c r="C40" s="21">
        <v>-30</v>
      </c>
      <c r="D40" s="5">
        <v>1717</v>
      </c>
      <c r="E40" s="5">
        <v>4227</v>
      </c>
      <c r="F40" s="5">
        <v>4194</v>
      </c>
      <c r="G40" s="5">
        <v>14671</v>
      </c>
    </row>
    <row r="41" spans="1:7" x14ac:dyDescent="0.55000000000000004">
      <c r="A41" s="9" t="s">
        <v>28</v>
      </c>
      <c r="B41" s="11"/>
      <c r="C41" s="11"/>
      <c r="D41" s="11"/>
      <c r="E41" s="11"/>
      <c r="F41" s="11"/>
      <c r="G41" s="11"/>
    </row>
    <row r="42" spans="1:7" x14ac:dyDescent="0.55000000000000004">
      <c r="A42" s="4" t="s">
        <v>29</v>
      </c>
      <c r="B42" s="5">
        <v>3053</v>
      </c>
      <c r="C42" s="21">
        <v>-30</v>
      </c>
      <c r="D42" s="5">
        <v>1717</v>
      </c>
      <c r="E42" s="5">
        <v>4227</v>
      </c>
      <c r="F42" s="5">
        <v>4194</v>
      </c>
      <c r="G42" s="5">
        <v>14671</v>
      </c>
    </row>
    <row r="43" spans="1:7" x14ac:dyDescent="0.55000000000000004">
      <c r="A43" s="6" t="s">
        <v>1</v>
      </c>
      <c r="B43" s="7">
        <v>1.2669999999999999</v>
      </c>
      <c r="C43" s="8">
        <v>-1.01</v>
      </c>
      <c r="D43" s="7">
        <v>58.232999999999997</v>
      </c>
      <c r="E43" s="7">
        <v>1.462</v>
      </c>
      <c r="F43" s="8">
        <v>-8.0000000000000002E-3</v>
      </c>
      <c r="G43" s="7">
        <v>2.4980000000000002</v>
      </c>
    </row>
    <row r="44" spans="1:7" x14ac:dyDescent="0.55000000000000004">
      <c r="A44" s="6" t="s">
        <v>30</v>
      </c>
      <c r="B44" s="7">
        <v>2.1000000000000001E-2</v>
      </c>
      <c r="C44" s="8">
        <v>-1E-3</v>
      </c>
      <c r="D44" s="7">
        <v>5.0999999999999997E-2</v>
      </c>
      <c r="E44" s="7">
        <v>0.10100000000000001</v>
      </c>
      <c r="F44" s="7">
        <v>8.5999999999999993E-2</v>
      </c>
      <c r="G44" s="7">
        <v>0.96599999999999997</v>
      </c>
    </row>
    <row r="45" spans="1:7" x14ac:dyDescent="0.55000000000000004">
      <c r="A45" s="9" t="s">
        <v>31</v>
      </c>
      <c r="B45" s="11">
        <v>232.7</v>
      </c>
      <c r="C45" s="11">
        <v>226.75</v>
      </c>
      <c r="D45" s="11">
        <v>220.08</v>
      </c>
      <c r="E45" s="11">
        <v>233.26</v>
      </c>
      <c r="F45" s="11">
        <v>227.65</v>
      </c>
      <c r="G45" s="11">
        <v>218.96</v>
      </c>
    </row>
    <row r="46" spans="1:7" x14ac:dyDescent="0.55000000000000004">
      <c r="A46" s="15" t="s">
        <v>1</v>
      </c>
      <c r="B46" s="16">
        <v>-0.01</v>
      </c>
      <c r="C46" s="16">
        <v>-2.5999999999999999E-2</v>
      </c>
      <c r="D46" s="16">
        <v>-2.9000000000000001E-2</v>
      </c>
      <c r="E46" s="17">
        <v>0.06</v>
      </c>
      <c r="F46" s="16">
        <v>-2.4E-2</v>
      </c>
      <c r="G46" s="16">
        <v>-3.7999999999999999E-2</v>
      </c>
    </row>
    <row r="47" spans="1:7" x14ac:dyDescent="0.55000000000000004">
      <c r="A47" s="4" t="s">
        <v>32</v>
      </c>
      <c r="B47" s="12">
        <v>13.12</v>
      </c>
      <c r="C47" s="21">
        <v>-0.13</v>
      </c>
      <c r="D47" s="12">
        <v>7.79</v>
      </c>
      <c r="E47" s="12">
        <v>18.100000000000001</v>
      </c>
      <c r="F47" s="12">
        <v>18.38</v>
      </c>
      <c r="G47" s="12">
        <v>67</v>
      </c>
    </row>
    <row r="48" spans="1:7" x14ac:dyDescent="0.55000000000000004">
      <c r="A48" s="6" t="s">
        <v>1</v>
      </c>
      <c r="B48" s="7">
        <v>1.3140000000000001</v>
      </c>
      <c r="C48" s="8">
        <v>-1.01</v>
      </c>
      <c r="D48" s="7">
        <v>59.149000000000001</v>
      </c>
      <c r="E48" s="7">
        <v>1.323</v>
      </c>
      <c r="F48" s="7">
        <v>1.4999999999999999E-2</v>
      </c>
      <c r="G48" s="7">
        <v>2.645</v>
      </c>
    </row>
    <row r="49" spans="1:8" x14ac:dyDescent="0.55000000000000004">
      <c r="A49" s="6" t="s">
        <v>33</v>
      </c>
      <c r="B49" s="3"/>
      <c r="C49" s="3"/>
      <c r="D49" s="3"/>
      <c r="E49" s="3"/>
      <c r="F49" s="3"/>
      <c r="G49" s="3"/>
    </row>
    <row r="50" spans="1:8" x14ac:dyDescent="0.55000000000000004">
      <c r="A50" s="9" t="s">
        <v>34</v>
      </c>
      <c r="B50" s="11">
        <v>13.16</v>
      </c>
      <c r="C50" s="14">
        <v>-0.13</v>
      </c>
      <c r="D50" s="11">
        <v>7.8</v>
      </c>
      <c r="E50" s="11">
        <v>18.38</v>
      </c>
      <c r="F50" s="11">
        <v>18.72</v>
      </c>
      <c r="G50" s="11">
        <v>68.27</v>
      </c>
    </row>
    <row r="51" spans="1:8" x14ac:dyDescent="0.55000000000000004">
      <c r="A51" s="15" t="s">
        <v>1</v>
      </c>
      <c r="B51" s="17">
        <v>1.2969999999999999</v>
      </c>
      <c r="C51" s="16">
        <v>-1.01</v>
      </c>
      <c r="D51" s="17">
        <v>60.113999999999997</v>
      </c>
      <c r="E51" s="17">
        <v>1.355</v>
      </c>
      <c r="F51" s="17">
        <v>1.9E-2</v>
      </c>
      <c r="G51" s="17">
        <v>2.6469999999999998</v>
      </c>
    </row>
    <row r="52" spans="1:8" x14ac:dyDescent="0.55000000000000004">
      <c r="A52" s="9" t="s">
        <v>35</v>
      </c>
      <c r="B52" s="11">
        <v>231.96</v>
      </c>
      <c r="C52" s="11">
        <v>226.75</v>
      </c>
      <c r="D52" s="11">
        <v>220.08</v>
      </c>
      <c r="E52" s="11">
        <v>230.03</v>
      </c>
      <c r="F52" s="11">
        <v>224.05</v>
      </c>
      <c r="G52" s="11">
        <v>214.88</v>
      </c>
    </row>
    <row r="53" spans="1:8" x14ac:dyDescent="0.55000000000000004">
      <c r="A53" s="15" t="s">
        <v>1</v>
      </c>
      <c r="B53" s="16">
        <v>-1.4E-2</v>
      </c>
      <c r="C53" s="16">
        <v>-2.1999999999999999E-2</v>
      </c>
      <c r="D53" s="16">
        <v>-2.9000000000000001E-2</v>
      </c>
      <c r="E53" s="17">
        <v>4.4999999999999998E-2</v>
      </c>
      <c r="F53" s="16">
        <v>-2.5999999999999999E-2</v>
      </c>
      <c r="G53" s="16">
        <v>-4.1000000000000002E-2</v>
      </c>
    </row>
    <row r="54" spans="1:8" x14ac:dyDescent="0.55000000000000004">
      <c r="A54" s="9" t="s">
        <v>36</v>
      </c>
      <c r="B54" s="11">
        <v>8.27</v>
      </c>
      <c r="C54" s="11">
        <v>1.0900000000000001</v>
      </c>
      <c r="D54" s="11">
        <v>8.33</v>
      </c>
      <c r="E54" s="11">
        <v>12.42</v>
      </c>
      <c r="F54" s="11">
        <v>18.38</v>
      </c>
      <c r="G54" s="11">
        <v>67</v>
      </c>
    </row>
    <row r="55" spans="1:8" x14ac:dyDescent="0.55000000000000004">
      <c r="A55" s="15" t="s">
        <v>1</v>
      </c>
      <c r="B55" s="17">
        <v>0.55100000000000005</v>
      </c>
      <c r="C55" s="16">
        <v>-0.86799999999999999</v>
      </c>
      <c r="D55" s="17">
        <v>6.6079999999999997</v>
      </c>
      <c r="E55" s="17">
        <v>0.49099999999999999</v>
      </c>
      <c r="F55" s="17">
        <v>0.48</v>
      </c>
      <c r="G55" s="17">
        <v>2.645</v>
      </c>
      <c r="H55" s="32"/>
    </row>
    <row r="56" spans="1:8" x14ac:dyDescent="0.55000000000000004">
      <c r="A56" s="26"/>
      <c r="B56" s="33"/>
      <c r="C56" s="34"/>
      <c r="D56" s="34"/>
      <c r="E56" s="34"/>
      <c r="F56" s="34"/>
      <c r="G56" s="34"/>
      <c r="H56" s="35"/>
    </row>
    <row r="57" spans="1:8" x14ac:dyDescent="0.55000000000000004">
      <c r="A57" s="26"/>
      <c r="B57" s="31"/>
      <c r="C57" s="32"/>
      <c r="D57" s="32"/>
      <c r="E57" s="32"/>
      <c r="F57" s="32"/>
      <c r="G57" s="32"/>
      <c r="H57" s="32"/>
    </row>
    <row r="58" spans="1:8" x14ac:dyDescent="0.55000000000000004">
      <c r="A58" s="26"/>
      <c r="B58" s="31"/>
      <c r="C58" s="32"/>
      <c r="D58" s="32"/>
      <c r="E58" s="32"/>
      <c r="F58" s="32"/>
      <c r="G58" s="36"/>
      <c r="H58" s="36"/>
    </row>
    <row r="59" spans="1:8" x14ac:dyDescent="0.55000000000000004">
      <c r="A59" s="26"/>
      <c r="B59" s="31"/>
      <c r="C59" s="37"/>
      <c r="D59" s="37"/>
      <c r="E59" s="37"/>
      <c r="F59" s="37"/>
      <c r="G59" s="37"/>
      <c r="H59" s="32"/>
    </row>
    <row r="60" spans="1:8" x14ac:dyDescent="0.55000000000000004">
      <c r="A60" s="26"/>
      <c r="B60" s="33"/>
      <c r="C60" s="38"/>
      <c r="D60" s="38"/>
      <c r="E60" s="35"/>
      <c r="F60" s="35"/>
      <c r="G60" s="35"/>
      <c r="H60" s="38"/>
    </row>
    <row r="61" spans="1:8" x14ac:dyDescent="0.55000000000000004">
      <c r="A61" s="26"/>
      <c r="B61" s="31"/>
      <c r="C61" s="32"/>
      <c r="D61" s="32"/>
      <c r="E61" s="32"/>
      <c r="F61" s="32"/>
      <c r="G61" s="32"/>
      <c r="H61" s="32"/>
    </row>
    <row r="62" spans="1:8" x14ac:dyDescent="0.55000000000000004">
      <c r="A62" s="26"/>
      <c r="B62" s="33"/>
      <c r="C62" s="34"/>
      <c r="D62" s="34"/>
      <c r="E62" s="34"/>
      <c r="F62" s="34"/>
      <c r="G62" s="34"/>
      <c r="H62" s="34"/>
    </row>
    <row r="63" spans="1:8" x14ac:dyDescent="0.55000000000000004">
      <c r="A63" s="26"/>
      <c r="B63" s="31"/>
      <c r="C63" s="32"/>
      <c r="D63" s="32"/>
      <c r="E63" s="32"/>
      <c r="F63" s="32"/>
      <c r="G63" s="32"/>
      <c r="H63" s="32"/>
    </row>
    <row r="64" spans="1:8" x14ac:dyDescent="0.55000000000000004">
      <c r="A64" s="26"/>
      <c r="B64" s="33"/>
      <c r="C64" s="34"/>
      <c r="D64" s="34"/>
      <c r="E64" s="34"/>
      <c r="F64" s="34"/>
      <c r="G64" s="34"/>
      <c r="H64" s="34"/>
    </row>
    <row r="65" spans="1:8" x14ac:dyDescent="0.55000000000000004">
      <c r="A65" s="26"/>
      <c r="B65" s="31"/>
      <c r="C65" s="37"/>
      <c r="D65" s="37"/>
      <c r="E65" s="37"/>
      <c r="F65" s="37"/>
      <c r="G65" s="37"/>
      <c r="H65" s="32"/>
    </row>
    <row r="66" spans="1:8" x14ac:dyDescent="0.55000000000000004">
      <c r="A66" s="26"/>
      <c r="B66" s="33"/>
      <c r="C66" s="35"/>
      <c r="D66" s="38"/>
      <c r="E66" s="35"/>
      <c r="F66" s="35"/>
      <c r="G66" s="35"/>
      <c r="H66" s="34"/>
    </row>
    <row r="67" spans="1:8" x14ac:dyDescent="0.55000000000000004">
      <c r="A67" s="26"/>
      <c r="B67" s="31"/>
      <c r="C67" s="32"/>
      <c r="D67" s="32"/>
      <c r="E67" s="32"/>
      <c r="F67" s="32"/>
      <c r="G67" s="32"/>
      <c r="H67" s="32"/>
    </row>
    <row r="68" spans="1:8" x14ac:dyDescent="0.55000000000000004">
      <c r="A68" s="26"/>
      <c r="B68" s="33"/>
      <c r="C68" s="34"/>
      <c r="D68" s="34"/>
      <c r="E68" s="34"/>
      <c r="F68" s="34"/>
      <c r="G68" s="34"/>
      <c r="H68" s="34"/>
    </row>
    <row r="69" spans="1:8" x14ac:dyDescent="0.55000000000000004">
      <c r="A69" s="26"/>
      <c r="B69" s="31"/>
      <c r="C69" s="32"/>
      <c r="D69" s="32"/>
      <c r="E69" s="32"/>
      <c r="F69" s="37"/>
      <c r="G69" s="37"/>
      <c r="H69" s="37"/>
    </row>
    <row r="70" spans="1:8" x14ac:dyDescent="0.55000000000000004">
      <c r="A70" s="26"/>
      <c r="B70" s="33"/>
      <c r="C70" s="34"/>
      <c r="D70" s="34"/>
      <c r="E70" s="34"/>
      <c r="F70" s="35"/>
      <c r="G70" s="35"/>
      <c r="H70" s="38"/>
    </row>
    <row r="71" spans="1:8" x14ac:dyDescent="0.55000000000000004">
      <c r="A71" s="26"/>
      <c r="B71" s="31"/>
      <c r="C71" s="36"/>
      <c r="D71" s="32"/>
      <c r="E71" s="36"/>
      <c r="F71" s="36"/>
      <c r="G71" s="32"/>
      <c r="H71" s="32"/>
    </row>
    <row r="72" spans="1:8" x14ac:dyDescent="0.55000000000000004">
      <c r="A72" s="26"/>
      <c r="B72" s="39"/>
      <c r="C72" s="40"/>
      <c r="D72" s="40"/>
      <c r="E72" s="40"/>
      <c r="F72" s="40"/>
      <c r="G72" s="40"/>
      <c r="H72" s="40"/>
    </row>
    <row r="73" spans="1:8" x14ac:dyDescent="0.55000000000000004">
      <c r="A73" s="26"/>
      <c r="B73" s="41"/>
      <c r="C73" s="42"/>
      <c r="D73" s="42"/>
      <c r="E73" s="42"/>
      <c r="F73" s="42"/>
      <c r="G73" s="43"/>
      <c r="H73" s="42"/>
    </row>
    <row r="74" spans="1:8" x14ac:dyDescent="0.55000000000000004">
      <c r="A74" s="26"/>
      <c r="B74" s="31"/>
      <c r="C74" s="32"/>
      <c r="D74" s="32"/>
      <c r="E74" s="32"/>
      <c r="F74" s="32"/>
      <c r="G74" s="32"/>
      <c r="H74" s="32"/>
    </row>
    <row r="75" spans="1:8" x14ac:dyDescent="0.55000000000000004">
      <c r="A75" s="26"/>
      <c r="B75" s="41"/>
      <c r="C75" s="44"/>
      <c r="D75" s="45"/>
      <c r="E75" s="45"/>
      <c r="F75" s="45"/>
      <c r="G75" s="43"/>
      <c r="H75" s="45"/>
    </row>
    <row r="76" spans="1:8" x14ac:dyDescent="0.55000000000000004">
      <c r="A76" s="26"/>
      <c r="B76" s="39"/>
      <c r="C76" s="46"/>
      <c r="D76" s="46"/>
      <c r="E76" s="46"/>
      <c r="F76" s="46"/>
      <c r="G76" s="46"/>
      <c r="H76" s="47"/>
    </row>
    <row r="77" spans="1:8" x14ac:dyDescent="0.55000000000000004">
      <c r="A77" s="26"/>
      <c r="B77" s="31"/>
      <c r="C77" s="32"/>
      <c r="D77" s="32"/>
      <c r="E77" s="32"/>
      <c r="F77" s="32"/>
      <c r="G77" s="32"/>
      <c r="H77" s="32"/>
    </row>
    <row r="78" spans="1:8" x14ac:dyDescent="0.55000000000000004">
      <c r="A78" s="26"/>
      <c r="B78" s="41"/>
      <c r="C78" s="42"/>
      <c r="D78" s="42"/>
      <c r="E78" s="42"/>
      <c r="F78" s="42"/>
      <c r="G78" s="43"/>
      <c r="H78" s="43"/>
    </row>
    <row r="79" spans="1:8" x14ac:dyDescent="0.55000000000000004">
      <c r="A79" s="26"/>
      <c r="D79" s="27"/>
    </row>
    <row r="80" spans="1:8" x14ac:dyDescent="0.55000000000000004">
      <c r="A80" s="26"/>
      <c r="D80" s="27"/>
    </row>
    <row r="81" spans="1:4" x14ac:dyDescent="0.55000000000000004">
      <c r="A81" s="26"/>
      <c r="D81" s="30"/>
    </row>
    <row r="82" spans="1:4" x14ac:dyDescent="0.55000000000000004">
      <c r="A82" s="26"/>
      <c r="D82" s="27"/>
    </row>
    <row r="83" spans="1:4" x14ac:dyDescent="0.55000000000000004">
      <c r="A83" s="26"/>
      <c r="D83" s="27"/>
    </row>
    <row r="84" spans="1:4" x14ac:dyDescent="0.55000000000000004">
      <c r="A84" s="26"/>
      <c r="D84" s="27"/>
    </row>
    <row r="85" spans="1:4" x14ac:dyDescent="0.55000000000000004">
      <c r="A85" s="26"/>
      <c r="D85" s="27"/>
    </row>
    <row r="86" spans="1:4" x14ac:dyDescent="0.55000000000000004">
      <c r="A86" s="26"/>
      <c r="D86" s="27"/>
    </row>
    <row r="87" spans="1:4" x14ac:dyDescent="0.55000000000000004">
      <c r="A87" s="26"/>
      <c r="D87" s="27"/>
    </row>
    <row r="88" spans="1:4" x14ac:dyDescent="0.55000000000000004">
      <c r="A88" s="26"/>
      <c r="D88" s="27"/>
    </row>
    <row r="89" spans="1:4" x14ac:dyDescent="0.55000000000000004">
      <c r="A89" s="26"/>
      <c r="D89" s="27"/>
    </row>
    <row r="90" spans="1:4" x14ac:dyDescent="0.55000000000000004">
      <c r="A90" s="26"/>
      <c r="D90" s="27"/>
    </row>
    <row r="91" spans="1:4" x14ac:dyDescent="0.55000000000000004">
      <c r="A91" s="26"/>
      <c r="D91" s="27"/>
    </row>
    <row r="92" spans="1:4" x14ac:dyDescent="0.55000000000000004">
      <c r="A92" s="26"/>
      <c r="D92" s="27"/>
    </row>
    <row r="93" spans="1:4" x14ac:dyDescent="0.55000000000000004">
      <c r="A93" s="26"/>
      <c r="D93" s="27"/>
    </row>
    <row r="94" spans="1:4" x14ac:dyDescent="0.55000000000000004">
      <c r="A94" s="28"/>
      <c r="B94" s="29"/>
      <c r="C94" s="29"/>
      <c r="D94" s="3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ACAD8-1FB6-41C6-8765-A3CE43B4ED17}">
  <dimension ref="A1:G64"/>
  <sheetViews>
    <sheetView topLeftCell="A13" zoomScale="63" workbookViewId="0">
      <selection activeCell="G65" sqref="G65"/>
    </sheetView>
  </sheetViews>
  <sheetFormatPr defaultRowHeight="15" x14ac:dyDescent="0.55000000000000004"/>
  <cols>
    <col min="1" max="1" width="26.59765625" bestFit="1" customWidth="1"/>
    <col min="2" max="2" width="8.19921875" bestFit="1" customWidth="1"/>
    <col min="3" max="3" width="8.3984375" bestFit="1" customWidth="1"/>
    <col min="4" max="4" width="8.19921875" bestFit="1" customWidth="1"/>
    <col min="5" max="7" width="8.3984375" bestFit="1" customWidth="1"/>
  </cols>
  <sheetData>
    <row r="1" spans="1:7" x14ac:dyDescent="0.55000000000000004">
      <c r="A1" s="59" t="s">
        <v>39</v>
      </c>
    </row>
    <row r="2" spans="1:7" x14ac:dyDescent="0.55000000000000004">
      <c r="A2" s="60" t="s">
        <v>40</v>
      </c>
    </row>
    <row r="4" spans="1:7" x14ac:dyDescent="0.55000000000000004">
      <c r="A4" s="57" t="s">
        <v>41</v>
      </c>
      <c r="B4" s="58">
        <v>43830</v>
      </c>
      <c r="C4" s="58">
        <v>44196</v>
      </c>
      <c r="D4" s="58">
        <v>44561</v>
      </c>
      <c r="E4" s="58">
        <v>44926</v>
      </c>
      <c r="F4" s="58">
        <v>45291</v>
      </c>
      <c r="G4" s="58">
        <v>45657</v>
      </c>
    </row>
    <row r="5" spans="1:7" x14ac:dyDescent="0.55000000000000004">
      <c r="A5" s="48"/>
      <c r="B5" s="48"/>
      <c r="C5" s="48"/>
      <c r="D5" s="48"/>
      <c r="E5" s="48"/>
      <c r="F5" s="48"/>
      <c r="G5" s="48"/>
    </row>
    <row r="6" spans="1:7" x14ac:dyDescent="0.55000000000000004">
      <c r="A6" s="49" t="s">
        <v>42</v>
      </c>
      <c r="B6" s="50">
        <v>21991</v>
      </c>
      <c r="C6" s="50">
        <v>34834</v>
      </c>
      <c r="D6" s="50">
        <v>7012</v>
      </c>
      <c r="E6" s="50">
        <v>10631</v>
      </c>
      <c r="F6" s="50">
        <v>7790</v>
      </c>
      <c r="G6" s="51">
        <v>153</v>
      </c>
    </row>
    <row r="7" spans="1:7" x14ac:dyDescent="0.55000000000000004">
      <c r="A7" s="49" t="s">
        <v>43</v>
      </c>
      <c r="B7" s="50">
        <v>1117</v>
      </c>
      <c r="C7" s="51">
        <v>339</v>
      </c>
      <c r="D7" s="51">
        <v>690</v>
      </c>
      <c r="E7" s="50">
        <v>2879</v>
      </c>
      <c r="F7" s="51"/>
      <c r="G7" s="51"/>
    </row>
    <row r="8" spans="1:7" x14ac:dyDescent="0.55000000000000004">
      <c r="A8" s="52" t="s">
        <v>44</v>
      </c>
      <c r="B8" s="53">
        <v>23108</v>
      </c>
      <c r="C8" s="53">
        <v>35173</v>
      </c>
      <c r="D8" s="53">
        <v>7702</v>
      </c>
      <c r="E8" s="53">
        <v>13510</v>
      </c>
      <c r="F8" s="54"/>
      <c r="G8" s="54"/>
    </row>
    <row r="9" spans="1:7" x14ac:dyDescent="0.55000000000000004">
      <c r="A9" s="49" t="s">
        <v>45</v>
      </c>
      <c r="B9" s="50">
        <v>27889</v>
      </c>
      <c r="C9" s="50">
        <v>2274</v>
      </c>
      <c r="D9" s="51">
        <v>726</v>
      </c>
      <c r="E9" s="51">
        <v>749</v>
      </c>
      <c r="F9" s="51"/>
      <c r="G9" s="51"/>
    </row>
    <row r="10" spans="1:7" x14ac:dyDescent="0.55000000000000004">
      <c r="A10" s="49" t="s">
        <v>46</v>
      </c>
      <c r="B10" s="51">
        <v>573</v>
      </c>
      <c r="C10" s="51"/>
      <c r="D10" s="51">
        <v>137</v>
      </c>
      <c r="E10" s="51">
        <v>170</v>
      </c>
      <c r="F10" s="51">
        <v>200</v>
      </c>
      <c r="G10" s="51">
        <v>10</v>
      </c>
    </row>
    <row r="11" spans="1:7" x14ac:dyDescent="0.55000000000000004">
      <c r="A11" s="49" t="s">
        <v>47</v>
      </c>
      <c r="B11" s="50">
        <v>1563</v>
      </c>
      <c r="C11" s="50">
        <v>21445</v>
      </c>
      <c r="D11" s="50">
        <v>17232</v>
      </c>
      <c r="E11" s="50">
        <v>23092</v>
      </c>
      <c r="F11" s="51"/>
      <c r="G11" s="51"/>
    </row>
    <row r="12" spans="1:7" x14ac:dyDescent="0.55000000000000004">
      <c r="A12" s="52" t="s">
        <v>48</v>
      </c>
      <c r="B12" s="54"/>
      <c r="C12" s="54"/>
      <c r="D12" s="54"/>
      <c r="E12" s="54"/>
      <c r="F12" s="53">
        <v>29712</v>
      </c>
      <c r="G12" s="54"/>
    </row>
    <row r="13" spans="1:7" x14ac:dyDescent="0.55000000000000004">
      <c r="A13" s="49" t="s">
        <v>49</v>
      </c>
      <c r="B13" s="50">
        <v>15997</v>
      </c>
      <c r="C13" s="50">
        <v>13109</v>
      </c>
      <c r="D13" s="50">
        <v>2050</v>
      </c>
      <c r="E13" s="50">
        <v>2668</v>
      </c>
      <c r="F13" s="51"/>
      <c r="G13" s="51"/>
    </row>
    <row r="14" spans="1:7" x14ac:dyDescent="0.55000000000000004">
      <c r="A14" s="49" t="s">
        <v>50</v>
      </c>
      <c r="B14" s="51"/>
      <c r="C14" s="51">
        <v>995</v>
      </c>
      <c r="D14" s="50">
        <v>1078</v>
      </c>
      <c r="E14" s="51">
        <v>920</v>
      </c>
      <c r="F14" s="51"/>
      <c r="G14" s="51"/>
    </row>
    <row r="15" spans="1:7" x14ac:dyDescent="0.55000000000000004">
      <c r="A15" s="49" t="s">
        <v>51</v>
      </c>
      <c r="B15" s="50">
        <v>1877</v>
      </c>
      <c r="C15" s="51">
        <v>218</v>
      </c>
      <c r="D15" s="50">
        <v>3823</v>
      </c>
      <c r="E15" s="50">
        <v>4443</v>
      </c>
      <c r="F15" s="51"/>
      <c r="G15" s="51"/>
    </row>
    <row r="16" spans="1:7" x14ac:dyDescent="0.55000000000000004">
      <c r="A16" s="49" t="s">
        <v>52</v>
      </c>
      <c r="B16" s="51"/>
      <c r="C16" s="51"/>
      <c r="D16" s="51"/>
      <c r="E16" s="51"/>
      <c r="F16" s="51"/>
      <c r="G16" s="51"/>
    </row>
    <row r="17" spans="1:7" x14ac:dyDescent="0.55000000000000004">
      <c r="A17" s="49" t="s">
        <v>53</v>
      </c>
      <c r="B17" s="51"/>
      <c r="C17" s="51"/>
      <c r="D17" s="51"/>
      <c r="E17" s="51"/>
      <c r="F17" s="51"/>
      <c r="G17" s="51"/>
    </row>
    <row r="18" spans="1:7" x14ac:dyDescent="0.55000000000000004">
      <c r="A18" s="52" t="s">
        <v>54</v>
      </c>
      <c r="B18" s="53">
        <v>17874</v>
      </c>
      <c r="C18" s="53">
        <v>14322</v>
      </c>
      <c r="D18" s="53">
        <v>6951</v>
      </c>
      <c r="E18" s="53">
        <v>8031</v>
      </c>
      <c r="F18" s="54"/>
      <c r="G18" s="54"/>
    </row>
    <row r="19" spans="1:7" x14ac:dyDescent="0.55000000000000004">
      <c r="A19" s="49" t="s">
        <v>55</v>
      </c>
      <c r="B19" s="51">
        <v>944</v>
      </c>
      <c r="C19" s="51">
        <v>727</v>
      </c>
      <c r="D19" s="51">
        <v>893</v>
      </c>
      <c r="E19" s="51">
        <v>946</v>
      </c>
      <c r="F19" s="51"/>
      <c r="G19" s="51"/>
    </row>
    <row r="20" spans="1:7" x14ac:dyDescent="0.55000000000000004">
      <c r="A20" s="49" t="s">
        <v>56</v>
      </c>
      <c r="B20" s="51">
        <v>381</v>
      </c>
      <c r="C20" s="51">
        <v>328</v>
      </c>
      <c r="D20" s="50">
        <v>25883</v>
      </c>
      <c r="E20" s="51">
        <v>2</v>
      </c>
      <c r="F20" s="51"/>
      <c r="G20" s="51"/>
    </row>
    <row r="21" spans="1:7" x14ac:dyDescent="0.55000000000000004">
      <c r="A21" s="49" t="s">
        <v>57</v>
      </c>
      <c r="B21" s="50">
        <v>5100</v>
      </c>
      <c r="C21" s="50">
        <v>7357</v>
      </c>
      <c r="D21" s="50">
        <v>1415</v>
      </c>
      <c r="E21" s="50">
        <v>1209</v>
      </c>
      <c r="F21" s="51"/>
      <c r="G21" s="51"/>
    </row>
    <row r="22" spans="1:7" x14ac:dyDescent="0.55000000000000004">
      <c r="A22" s="52" t="s">
        <v>58</v>
      </c>
      <c r="B22" s="53">
        <v>77432</v>
      </c>
      <c r="C22" s="53">
        <v>82084</v>
      </c>
      <c r="D22" s="53">
        <v>61617</v>
      </c>
      <c r="E22" s="53">
        <v>48579</v>
      </c>
      <c r="F22" s="54"/>
      <c r="G22" s="54"/>
    </row>
    <row r="23" spans="1:7" x14ac:dyDescent="0.55000000000000004">
      <c r="A23" s="49" t="s">
        <v>59</v>
      </c>
      <c r="B23" s="50">
        <v>88650</v>
      </c>
      <c r="C23" s="50">
        <v>86699</v>
      </c>
      <c r="D23" s="50">
        <v>20561</v>
      </c>
      <c r="E23" s="50">
        <v>21457</v>
      </c>
      <c r="F23" s="51"/>
      <c r="G23" s="51"/>
    </row>
    <row r="24" spans="1:7" x14ac:dyDescent="0.55000000000000004">
      <c r="A24" s="49" t="s">
        <v>60</v>
      </c>
      <c r="B24" s="55">
        <v>-51941</v>
      </c>
      <c r="C24" s="55">
        <v>-51530</v>
      </c>
      <c r="D24" s="55">
        <v>-12784</v>
      </c>
      <c r="E24" s="55">
        <v>-13439</v>
      </c>
      <c r="F24" s="51"/>
      <c r="G24" s="51"/>
    </row>
    <row r="25" spans="1:7" x14ac:dyDescent="0.55000000000000004">
      <c r="A25" s="52" t="s">
        <v>61</v>
      </c>
      <c r="B25" s="53">
        <v>36709</v>
      </c>
      <c r="C25" s="53">
        <v>35169</v>
      </c>
      <c r="D25" s="53">
        <v>7777</v>
      </c>
      <c r="E25" s="53">
        <v>8018</v>
      </c>
      <c r="F25" s="53">
        <v>8419</v>
      </c>
      <c r="G25" s="54">
        <v>18</v>
      </c>
    </row>
    <row r="26" spans="1:7" x14ac:dyDescent="0.55000000000000004">
      <c r="A26" s="49" t="s">
        <v>62</v>
      </c>
      <c r="B26" s="50">
        <v>3596</v>
      </c>
      <c r="C26" s="50">
        <v>6174</v>
      </c>
      <c r="D26" s="50">
        <v>10214</v>
      </c>
      <c r="E26" s="50">
        <v>12841</v>
      </c>
      <c r="F26" s="50">
        <v>14968</v>
      </c>
      <c r="G26" s="51"/>
    </row>
    <row r="27" spans="1:7" x14ac:dyDescent="0.55000000000000004">
      <c r="A27" s="49" t="s">
        <v>63</v>
      </c>
      <c r="B27" s="50">
        <v>2440</v>
      </c>
      <c r="C27" s="50">
        <v>1219</v>
      </c>
      <c r="D27" s="50">
        <v>1495</v>
      </c>
      <c r="E27" s="50">
        <v>3032</v>
      </c>
      <c r="F27" s="50">
        <v>10474</v>
      </c>
      <c r="G27" s="50">
        <v>42238</v>
      </c>
    </row>
    <row r="28" spans="1:7" x14ac:dyDescent="0.55000000000000004">
      <c r="A28" s="49" t="s">
        <v>64</v>
      </c>
      <c r="B28" s="50">
        <v>12535</v>
      </c>
      <c r="C28" s="50">
        <v>12789</v>
      </c>
      <c r="D28" s="51">
        <v>76</v>
      </c>
      <c r="E28" s="51"/>
      <c r="F28" s="51"/>
      <c r="G28" s="51"/>
    </row>
    <row r="29" spans="1:7" x14ac:dyDescent="0.55000000000000004">
      <c r="A29" s="49" t="s">
        <v>65</v>
      </c>
      <c r="B29" s="50">
        <v>14735</v>
      </c>
      <c r="C29" s="50">
        <v>13146</v>
      </c>
      <c r="D29" s="50">
        <v>3782</v>
      </c>
      <c r="E29" s="50">
        <v>4043</v>
      </c>
      <c r="F29" s="51"/>
      <c r="G29" s="51"/>
    </row>
    <row r="30" spans="1:7" x14ac:dyDescent="0.55000000000000004">
      <c r="A30" s="49" t="s">
        <v>66</v>
      </c>
      <c r="B30" s="50">
        <v>20333</v>
      </c>
      <c r="C30" s="50">
        <v>20173</v>
      </c>
      <c r="D30" s="50">
        <v>4856</v>
      </c>
      <c r="E30" s="50">
        <v>5249</v>
      </c>
      <c r="F30" s="51"/>
      <c r="G30" s="51"/>
    </row>
    <row r="31" spans="1:7" x14ac:dyDescent="0.55000000000000004">
      <c r="A31" s="49" t="s">
        <v>67</v>
      </c>
      <c r="B31" s="50">
        <v>2584</v>
      </c>
      <c r="C31" s="50">
        <v>2192</v>
      </c>
      <c r="D31" s="50">
        <v>1165</v>
      </c>
      <c r="E31" s="50">
        <v>1258</v>
      </c>
      <c r="F31" s="51"/>
      <c r="G31" s="51"/>
    </row>
    <row r="32" spans="1:7" x14ac:dyDescent="0.55000000000000004">
      <c r="A32" s="49" t="s">
        <v>68</v>
      </c>
      <c r="B32" s="51">
        <v>503</v>
      </c>
      <c r="C32" s="51"/>
      <c r="D32" s="51">
        <v>50</v>
      </c>
      <c r="E32" s="51">
        <v>20</v>
      </c>
      <c r="F32" s="51"/>
      <c r="G32" s="51"/>
    </row>
    <row r="33" spans="1:7" x14ac:dyDescent="0.55000000000000004">
      <c r="A33" s="49" t="s">
        <v>69</v>
      </c>
      <c r="B33" s="51">
        <v>774</v>
      </c>
      <c r="C33" s="51"/>
      <c r="D33" s="51"/>
      <c r="E33" s="51"/>
      <c r="F33" s="51"/>
      <c r="G33" s="51"/>
    </row>
    <row r="34" spans="1:7" x14ac:dyDescent="0.55000000000000004">
      <c r="A34" s="49" t="s">
        <v>70</v>
      </c>
      <c r="B34" s="51">
        <v>969</v>
      </c>
      <c r="C34" s="51"/>
      <c r="D34" s="51">
        <v>79</v>
      </c>
      <c r="E34" s="51">
        <v>659</v>
      </c>
      <c r="F34" s="50">
        <v>10770</v>
      </c>
      <c r="G34" s="51">
        <v>25</v>
      </c>
    </row>
    <row r="35" spans="1:7" x14ac:dyDescent="0.55000000000000004">
      <c r="A35" s="52" t="s">
        <v>71</v>
      </c>
      <c r="B35" s="53">
        <v>172610</v>
      </c>
      <c r="C35" s="53">
        <v>172945</v>
      </c>
      <c r="D35" s="53">
        <v>91111</v>
      </c>
      <c r="E35" s="53">
        <v>83699</v>
      </c>
      <c r="F35" s="53">
        <v>94779</v>
      </c>
      <c r="G35" s="53">
        <v>42460</v>
      </c>
    </row>
    <row r="36" spans="1:7" x14ac:dyDescent="0.55000000000000004">
      <c r="A36" s="49" t="s">
        <v>72</v>
      </c>
      <c r="B36" s="50">
        <v>27582</v>
      </c>
      <c r="C36" s="50">
        <v>26796</v>
      </c>
      <c r="D36" s="50">
        <v>7002</v>
      </c>
      <c r="E36" s="50">
        <v>7888</v>
      </c>
      <c r="F36" s="50">
        <v>7930</v>
      </c>
      <c r="G36" s="51">
        <v>4</v>
      </c>
    </row>
    <row r="37" spans="1:7" x14ac:dyDescent="0.55000000000000004">
      <c r="A37" s="49" t="s">
        <v>73</v>
      </c>
      <c r="B37" s="50">
        <v>5264</v>
      </c>
      <c r="C37" s="50">
        <v>3964</v>
      </c>
      <c r="D37" s="51">
        <v>624</v>
      </c>
      <c r="E37" s="51">
        <v>642</v>
      </c>
      <c r="F37" s="51"/>
      <c r="G37" s="51"/>
    </row>
    <row r="38" spans="1:7" x14ac:dyDescent="0.55000000000000004">
      <c r="A38" s="49" t="s">
        <v>74</v>
      </c>
      <c r="B38" s="50">
        <v>1703</v>
      </c>
      <c r="C38" s="50">
        <v>2025</v>
      </c>
      <c r="D38" s="50">
        <v>1870</v>
      </c>
      <c r="E38" s="50">
        <v>1143</v>
      </c>
      <c r="F38" s="51">
        <v>871</v>
      </c>
      <c r="G38" s="51">
        <v>30</v>
      </c>
    </row>
    <row r="39" spans="1:7" x14ac:dyDescent="0.55000000000000004">
      <c r="A39" s="52" t="s">
        <v>75</v>
      </c>
      <c r="B39" s="53">
        <v>34549</v>
      </c>
      <c r="C39" s="53">
        <v>32785</v>
      </c>
      <c r="D39" s="53">
        <v>9496</v>
      </c>
      <c r="E39" s="53">
        <v>9673</v>
      </c>
      <c r="F39" s="53">
        <v>8801</v>
      </c>
      <c r="G39" s="54">
        <v>34</v>
      </c>
    </row>
    <row r="40" spans="1:7" x14ac:dyDescent="0.55000000000000004">
      <c r="A40" s="49" t="s">
        <v>76</v>
      </c>
      <c r="B40" s="51"/>
      <c r="C40" s="51"/>
      <c r="D40" s="51"/>
      <c r="E40" s="51"/>
      <c r="F40" s="51"/>
      <c r="G40" s="51"/>
    </row>
    <row r="41" spans="1:7" x14ac:dyDescent="0.55000000000000004">
      <c r="A41" s="49" t="s">
        <v>77</v>
      </c>
      <c r="B41" s="51"/>
      <c r="C41" s="51"/>
      <c r="D41" s="51"/>
      <c r="E41" s="51"/>
      <c r="F41" s="51"/>
      <c r="G41" s="51"/>
    </row>
    <row r="42" spans="1:7" x14ac:dyDescent="0.55000000000000004">
      <c r="A42" s="49" t="s">
        <v>78</v>
      </c>
      <c r="B42" s="51"/>
      <c r="C42" s="51"/>
      <c r="D42" s="51"/>
      <c r="E42" s="51"/>
      <c r="F42" s="51"/>
      <c r="G42" s="51"/>
    </row>
    <row r="43" spans="1:7" x14ac:dyDescent="0.55000000000000004">
      <c r="A43" s="49" t="s">
        <v>79</v>
      </c>
      <c r="B43" s="51"/>
      <c r="C43" s="51"/>
      <c r="D43" s="51"/>
      <c r="E43" s="51"/>
      <c r="F43" s="51"/>
      <c r="G43" s="51"/>
    </row>
    <row r="44" spans="1:7" x14ac:dyDescent="0.55000000000000004">
      <c r="A44" s="49" t="s">
        <v>80</v>
      </c>
      <c r="B44" s="51"/>
      <c r="C44" s="51"/>
      <c r="D44" s="51"/>
      <c r="E44" s="51"/>
      <c r="F44" s="51"/>
      <c r="G44" s="51"/>
    </row>
    <row r="45" spans="1:7" x14ac:dyDescent="0.55000000000000004">
      <c r="A45" s="49" t="s">
        <v>81</v>
      </c>
      <c r="B45" s="50">
        <v>5926</v>
      </c>
      <c r="C45" s="50">
        <v>5385</v>
      </c>
      <c r="D45" s="50">
        <v>21903</v>
      </c>
      <c r="E45" s="50">
        <v>3768</v>
      </c>
      <c r="F45" s="51"/>
      <c r="G45" s="51"/>
    </row>
    <row r="46" spans="1:7" x14ac:dyDescent="0.55000000000000004">
      <c r="A46" s="52" t="s">
        <v>82</v>
      </c>
      <c r="B46" s="53">
        <v>40475</v>
      </c>
      <c r="C46" s="53">
        <v>38170</v>
      </c>
      <c r="D46" s="53">
        <v>31399</v>
      </c>
      <c r="E46" s="53">
        <v>13441</v>
      </c>
      <c r="F46" s="54"/>
      <c r="G46" s="54"/>
    </row>
    <row r="47" spans="1:7" x14ac:dyDescent="0.55000000000000004">
      <c r="A47" s="49" t="s">
        <v>83</v>
      </c>
      <c r="B47" s="50">
        <v>40851</v>
      </c>
      <c r="C47" s="50">
        <v>49848</v>
      </c>
      <c r="D47" s="50">
        <v>28180</v>
      </c>
      <c r="E47" s="50">
        <v>33129</v>
      </c>
      <c r="F47" s="51"/>
      <c r="G47" s="51"/>
    </row>
    <row r="48" spans="1:7" x14ac:dyDescent="0.55000000000000004">
      <c r="A48" s="49" t="s">
        <v>84</v>
      </c>
      <c r="B48" s="50">
        <v>2180</v>
      </c>
      <c r="C48" s="50">
        <v>2253</v>
      </c>
      <c r="D48" s="51">
        <v>504</v>
      </c>
      <c r="E48" s="51">
        <v>533</v>
      </c>
      <c r="F48" s="51"/>
      <c r="G48" s="51"/>
    </row>
    <row r="49" spans="1:7" x14ac:dyDescent="0.55000000000000004">
      <c r="A49" s="52" t="s">
        <v>85</v>
      </c>
      <c r="B49" s="53">
        <v>43031</v>
      </c>
      <c r="C49" s="53">
        <v>52101</v>
      </c>
      <c r="D49" s="53">
        <v>28684</v>
      </c>
      <c r="E49" s="53">
        <v>33662</v>
      </c>
      <c r="F49" s="53">
        <v>37986</v>
      </c>
      <c r="G49" s="53">
        <v>4090</v>
      </c>
    </row>
    <row r="50" spans="1:7" x14ac:dyDescent="0.55000000000000004">
      <c r="A50" s="49" t="s">
        <v>86</v>
      </c>
      <c r="B50" s="50">
        <v>10806</v>
      </c>
      <c r="C50" s="50">
        <v>10671</v>
      </c>
      <c r="D50" s="50">
        <v>1592</v>
      </c>
      <c r="E50" s="50">
        <v>1305</v>
      </c>
      <c r="F50" s="51"/>
      <c r="G50" s="51"/>
    </row>
    <row r="51" spans="1:7" x14ac:dyDescent="0.55000000000000004">
      <c r="A51" s="49" t="s">
        <v>87</v>
      </c>
      <c r="B51" s="50">
        <v>2062</v>
      </c>
      <c r="C51" s="50">
        <v>2256</v>
      </c>
      <c r="D51" s="51">
        <v>358</v>
      </c>
      <c r="E51" s="51">
        <v>361</v>
      </c>
      <c r="F51" s="51"/>
      <c r="G51" s="51"/>
    </row>
    <row r="52" spans="1:7" x14ac:dyDescent="0.55000000000000004">
      <c r="A52" s="49" t="s">
        <v>88</v>
      </c>
      <c r="B52" s="51">
        <v>468</v>
      </c>
      <c r="C52" s="51"/>
      <c r="D52" s="51">
        <v>266</v>
      </c>
      <c r="E52" s="51">
        <v>308</v>
      </c>
      <c r="F52" s="51">
        <v>295</v>
      </c>
      <c r="G52" s="51">
        <v>53</v>
      </c>
    </row>
    <row r="53" spans="1:7" x14ac:dyDescent="0.55000000000000004">
      <c r="A53" s="49" t="s">
        <v>89</v>
      </c>
      <c r="B53" s="51">
        <v>29</v>
      </c>
      <c r="C53" s="51"/>
      <c r="D53" s="51">
        <v>38</v>
      </c>
      <c r="E53" s="51"/>
      <c r="F53" s="51"/>
      <c r="G53" s="51"/>
    </row>
    <row r="54" spans="1:7" x14ac:dyDescent="0.55000000000000004">
      <c r="A54" s="49" t="s">
        <v>90</v>
      </c>
      <c r="B54" s="51"/>
      <c r="C54" s="51"/>
      <c r="D54" s="51"/>
      <c r="E54" s="51"/>
      <c r="F54" s="50">
        <v>6356</v>
      </c>
      <c r="G54" s="51"/>
    </row>
    <row r="55" spans="1:7" x14ac:dyDescent="0.55000000000000004">
      <c r="A55" s="49" t="s">
        <v>91</v>
      </c>
      <c r="B55" s="51"/>
      <c r="C55" s="51">
        <v>831</v>
      </c>
      <c r="D55" s="51"/>
      <c r="E55" s="51"/>
      <c r="F55" s="51"/>
      <c r="G55" s="51"/>
    </row>
    <row r="56" spans="1:7" x14ac:dyDescent="0.55000000000000004">
      <c r="A56" s="49" t="s">
        <v>92</v>
      </c>
      <c r="B56" s="50">
        <v>33180</v>
      </c>
      <c r="C56" s="50">
        <v>31256</v>
      </c>
      <c r="D56" s="50">
        <v>4404</v>
      </c>
      <c r="E56" s="50">
        <v>4952</v>
      </c>
      <c r="F56" s="50">
        <v>6001</v>
      </c>
      <c r="G56" s="51">
        <v>6</v>
      </c>
    </row>
    <row r="57" spans="1:7" x14ac:dyDescent="0.55000000000000004">
      <c r="A57" s="52" t="s">
        <v>93</v>
      </c>
      <c r="B57" s="53">
        <v>130051</v>
      </c>
      <c r="C57" s="53">
        <v>135285</v>
      </c>
      <c r="D57" s="53">
        <v>66741</v>
      </c>
      <c r="E57" s="53">
        <v>54029</v>
      </c>
      <c r="F57" s="53">
        <v>61647</v>
      </c>
      <c r="G57" s="53">
        <v>4248</v>
      </c>
    </row>
    <row r="58" spans="1:7" x14ac:dyDescent="0.55000000000000004">
      <c r="A58" s="49" t="s">
        <v>94</v>
      </c>
      <c r="B58" s="51">
        <v>2</v>
      </c>
      <c r="C58" s="51">
        <v>2</v>
      </c>
      <c r="D58" s="51">
        <v>7</v>
      </c>
      <c r="E58" s="51">
        <v>7</v>
      </c>
      <c r="F58" s="51"/>
      <c r="G58" s="51"/>
    </row>
    <row r="59" spans="1:7" x14ac:dyDescent="0.55000000000000004">
      <c r="A59" s="49" t="s">
        <v>95</v>
      </c>
      <c r="B59" s="56">
        <v>-269</v>
      </c>
      <c r="C59" s="56">
        <v>-298</v>
      </c>
      <c r="D59" s="56">
        <v>-298</v>
      </c>
      <c r="E59" s="56">
        <v>-553</v>
      </c>
      <c r="F59" s="51"/>
      <c r="G59" s="51"/>
    </row>
    <row r="60" spans="1:7" x14ac:dyDescent="0.55000000000000004">
      <c r="A60" s="49" t="s">
        <v>96</v>
      </c>
      <c r="B60" s="50">
        <v>42826</v>
      </c>
      <c r="C60" s="50">
        <v>37956</v>
      </c>
      <c r="D60" s="50">
        <v>24661</v>
      </c>
      <c r="E60" s="50">
        <v>30216</v>
      </c>
      <c r="F60" s="51"/>
      <c r="G60" s="51"/>
    </row>
    <row r="61" spans="1:7" x14ac:dyDescent="0.55000000000000004">
      <c r="A61" s="52" t="s">
        <v>97</v>
      </c>
      <c r="B61" s="53">
        <v>42559</v>
      </c>
      <c r="C61" s="53">
        <v>37660</v>
      </c>
      <c r="D61" s="53">
        <v>24370</v>
      </c>
      <c r="E61" s="53">
        <v>29670</v>
      </c>
      <c r="F61" s="53">
        <v>33132</v>
      </c>
      <c r="G61" s="53">
        <v>38212</v>
      </c>
    </row>
    <row r="62" spans="1:7" x14ac:dyDescent="0.55000000000000004">
      <c r="A62" s="49" t="s">
        <v>25</v>
      </c>
      <c r="B62" s="55">
        <v>-27534</v>
      </c>
      <c r="C62" s="55">
        <v>-24570</v>
      </c>
      <c r="D62" s="55">
        <v>-7611</v>
      </c>
      <c r="E62" s="55">
        <v>-9043</v>
      </c>
      <c r="F62" s="55">
        <v>-9864</v>
      </c>
      <c r="G62" s="51"/>
    </row>
    <row r="63" spans="1:7" x14ac:dyDescent="0.55000000000000004">
      <c r="A63" s="52" t="s">
        <v>98</v>
      </c>
      <c r="B63" s="53">
        <v>15025</v>
      </c>
      <c r="C63" s="53">
        <v>13090</v>
      </c>
      <c r="D63" s="53">
        <v>16759</v>
      </c>
      <c r="E63" s="53">
        <v>20627</v>
      </c>
      <c r="F63" s="53">
        <v>23268</v>
      </c>
      <c r="G63" s="53">
        <v>38212</v>
      </c>
    </row>
    <row r="64" spans="1:7" x14ac:dyDescent="0.55000000000000004">
      <c r="A64" s="52" t="s">
        <v>99</v>
      </c>
      <c r="B64" s="53">
        <v>145076</v>
      </c>
      <c r="C64" s="53">
        <v>148375</v>
      </c>
      <c r="D64" s="53">
        <v>83500</v>
      </c>
      <c r="E64" s="53">
        <v>74656</v>
      </c>
      <c r="F64" s="53">
        <v>84915</v>
      </c>
      <c r="G64" s="53">
        <v>42460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BF906-ECC0-4FCE-8D01-149DA714B194}">
  <dimension ref="A1:G50"/>
  <sheetViews>
    <sheetView topLeftCell="A26" zoomScale="124" workbookViewId="0">
      <selection activeCell="J36" sqref="J36"/>
    </sheetView>
  </sheetViews>
  <sheetFormatPr defaultRowHeight="15" x14ac:dyDescent="0.55000000000000004"/>
  <cols>
    <col min="1" max="1" width="27" bestFit="1" customWidth="1"/>
    <col min="2" max="7" width="7" bestFit="1" customWidth="1"/>
  </cols>
  <sheetData>
    <row r="1" spans="1:7" x14ac:dyDescent="0.55000000000000004">
      <c r="A1" t="s">
        <v>144</v>
      </c>
    </row>
    <row r="2" spans="1:7" x14ac:dyDescent="0.55000000000000004">
      <c r="A2" t="s">
        <v>145</v>
      </c>
    </row>
    <row r="4" spans="1:7" x14ac:dyDescent="0.55000000000000004">
      <c r="A4" s="57" t="s">
        <v>100</v>
      </c>
      <c r="B4" s="58">
        <v>43830</v>
      </c>
      <c r="C4" s="58">
        <v>44196</v>
      </c>
      <c r="D4" s="58">
        <v>44561</v>
      </c>
      <c r="E4" s="58">
        <v>44926</v>
      </c>
      <c r="F4" s="58">
        <v>45291</v>
      </c>
      <c r="G4" s="58">
        <v>45657</v>
      </c>
    </row>
    <row r="5" spans="1:7" x14ac:dyDescent="0.55000000000000004">
      <c r="A5" s="48"/>
      <c r="B5" s="48"/>
      <c r="C5" s="48"/>
      <c r="D5" s="48"/>
      <c r="E5" s="48"/>
      <c r="F5" s="48"/>
      <c r="G5" s="48"/>
    </row>
    <row r="6" spans="1:7" x14ac:dyDescent="0.55000000000000004">
      <c r="A6" s="52" t="s">
        <v>101</v>
      </c>
      <c r="B6" s="53">
        <v>4985</v>
      </c>
      <c r="C6" s="61">
        <v>-230</v>
      </c>
      <c r="D6" s="53">
        <v>3350</v>
      </c>
      <c r="E6" s="53">
        <v>4836</v>
      </c>
      <c r="F6" s="53">
        <v>6777</v>
      </c>
      <c r="G6" s="53">
        <v>13536</v>
      </c>
    </row>
    <row r="7" spans="1:7" x14ac:dyDescent="0.55000000000000004">
      <c r="A7" s="49" t="s">
        <v>102</v>
      </c>
      <c r="B7" s="50">
        <v>7119</v>
      </c>
      <c r="C7" s="50">
        <v>1689</v>
      </c>
      <c r="D7" s="50">
        <v>1728</v>
      </c>
      <c r="E7" s="50">
        <v>1853</v>
      </c>
      <c r="F7" s="50">
        <v>2050</v>
      </c>
      <c r="G7" s="51"/>
    </row>
    <row r="8" spans="1:7" x14ac:dyDescent="0.55000000000000004">
      <c r="A8" s="52" t="s">
        <v>103</v>
      </c>
      <c r="B8" s="53">
        <v>7119</v>
      </c>
      <c r="C8" s="53">
        <v>1689</v>
      </c>
      <c r="D8" s="53">
        <v>1728</v>
      </c>
      <c r="E8" s="53">
        <v>1853</v>
      </c>
      <c r="F8" s="53">
        <v>2050</v>
      </c>
      <c r="G8" s="54"/>
    </row>
    <row r="9" spans="1:7" x14ac:dyDescent="0.55000000000000004">
      <c r="A9" s="49" t="s">
        <v>104</v>
      </c>
      <c r="B9" s="56">
        <v>-379</v>
      </c>
      <c r="C9" s="56">
        <v>-102</v>
      </c>
      <c r="D9" s="56">
        <v>-40</v>
      </c>
      <c r="E9" s="56">
        <v>-162</v>
      </c>
      <c r="F9" s="51"/>
      <c r="G9" s="55">
        <v>-15170</v>
      </c>
    </row>
    <row r="10" spans="1:7" x14ac:dyDescent="0.55000000000000004">
      <c r="A10" s="49" t="s">
        <v>105</v>
      </c>
      <c r="B10" s="51"/>
      <c r="C10" s="51"/>
      <c r="D10" s="51"/>
      <c r="E10" s="51"/>
      <c r="F10" s="51"/>
      <c r="G10" s="51"/>
    </row>
    <row r="11" spans="1:7" x14ac:dyDescent="0.55000000000000004">
      <c r="A11" s="49" t="s">
        <v>106</v>
      </c>
      <c r="B11" s="51"/>
      <c r="C11" s="51"/>
      <c r="D11" s="51"/>
      <c r="E11" s="51"/>
      <c r="F11" s="51"/>
      <c r="G11" s="51"/>
    </row>
    <row r="12" spans="1:7" x14ac:dyDescent="0.55000000000000004">
      <c r="A12" s="49" t="s">
        <v>107</v>
      </c>
      <c r="B12" s="51"/>
      <c r="C12" s="51"/>
      <c r="D12" s="51"/>
      <c r="E12" s="51"/>
      <c r="F12" s="51"/>
      <c r="G12" s="51"/>
    </row>
    <row r="13" spans="1:7" x14ac:dyDescent="0.55000000000000004">
      <c r="A13" s="49" t="s">
        <v>108</v>
      </c>
      <c r="B13" s="51"/>
      <c r="C13" s="51"/>
      <c r="D13" s="51"/>
      <c r="E13" s="51"/>
      <c r="F13" s="51"/>
      <c r="G13" s="51"/>
    </row>
    <row r="14" spans="1:7" x14ac:dyDescent="0.55000000000000004">
      <c r="A14" s="49" t="s">
        <v>109</v>
      </c>
      <c r="B14" s="55">
        <v>-1962</v>
      </c>
      <c r="C14" s="51">
        <v>148</v>
      </c>
      <c r="D14" s="51">
        <v>357</v>
      </c>
      <c r="E14" s="51">
        <v>506</v>
      </c>
      <c r="F14" s="50">
        <v>1039</v>
      </c>
      <c r="G14" s="51"/>
    </row>
    <row r="15" spans="1:7" x14ac:dyDescent="0.55000000000000004">
      <c r="A15" s="49" t="s">
        <v>110</v>
      </c>
      <c r="B15" s="50">
        <v>3223</v>
      </c>
      <c r="C15" s="50">
        <v>1433</v>
      </c>
      <c r="D15" s="55">
        <v>-1484</v>
      </c>
      <c r="E15" s="55">
        <v>-1233</v>
      </c>
      <c r="F15" s="55">
        <v>-1291</v>
      </c>
      <c r="G15" s="51"/>
    </row>
    <row r="16" spans="1:7" x14ac:dyDescent="0.55000000000000004">
      <c r="A16" s="49" t="s">
        <v>111</v>
      </c>
      <c r="B16" s="51"/>
      <c r="C16" s="51"/>
      <c r="D16" s="51"/>
      <c r="E16" s="51"/>
      <c r="F16" s="55">
        <v>-1776</v>
      </c>
      <c r="G16" s="51">
        <v>69</v>
      </c>
    </row>
    <row r="17" spans="1:7" x14ac:dyDescent="0.55000000000000004">
      <c r="A17" s="49" t="s">
        <v>112</v>
      </c>
      <c r="B17" s="55">
        <v>-1248</v>
      </c>
      <c r="C17" s="50">
        <v>11123</v>
      </c>
      <c r="D17" s="51">
        <v>266</v>
      </c>
      <c r="E17" s="56">
        <v>-882</v>
      </c>
      <c r="F17" s="55">
        <v>-2767</v>
      </c>
      <c r="G17" s="50">
        <v>1612</v>
      </c>
    </row>
    <row r="18" spans="1:7" x14ac:dyDescent="0.55000000000000004">
      <c r="A18" s="52" t="s">
        <v>113</v>
      </c>
      <c r="B18" s="53">
        <v>11738</v>
      </c>
      <c r="C18" s="53">
        <v>14061</v>
      </c>
      <c r="D18" s="53">
        <v>4177</v>
      </c>
      <c r="E18" s="53">
        <v>4918</v>
      </c>
      <c r="F18" s="53">
        <v>4032</v>
      </c>
      <c r="G18" s="54">
        <v>47</v>
      </c>
    </row>
    <row r="19" spans="1:7" x14ac:dyDescent="0.55000000000000004">
      <c r="A19" s="62" t="s">
        <v>114</v>
      </c>
      <c r="B19" s="63">
        <v>1261</v>
      </c>
      <c r="C19" s="63">
        <v>1581</v>
      </c>
      <c r="D19" s="64">
        <v>-1127</v>
      </c>
      <c r="E19" s="65">
        <v>-727</v>
      </c>
      <c r="F19" s="64">
        <v>-1776</v>
      </c>
      <c r="G19" s="66">
        <v>69</v>
      </c>
    </row>
    <row r="20" spans="1:7" x14ac:dyDescent="0.55000000000000004">
      <c r="A20" s="49" t="s">
        <v>115</v>
      </c>
      <c r="B20" s="55">
        <v>-10290</v>
      </c>
      <c r="C20" s="55">
        <v>-1653</v>
      </c>
      <c r="D20" s="55">
        <v>-1960</v>
      </c>
      <c r="E20" s="55">
        <v>-2448</v>
      </c>
      <c r="F20" s="55">
        <v>-2810</v>
      </c>
      <c r="G20" s="51"/>
    </row>
    <row r="21" spans="1:7" x14ac:dyDescent="0.55000000000000004">
      <c r="A21" s="49" t="s">
        <v>116</v>
      </c>
      <c r="B21" s="51"/>
      <c r="C21" s="51"/>
      <c r="D21" s="51"/>
      <c r="E21" s="51"/>
      <c r="F21" s="51"/>
      <c r="G21" s="51"/>
    </row>
    <row r="22" spans="1:7" x14ac:dyDescent="0.55000000000000004">
      <c r="A22" s="52" t="s">
        <v>117</v>
      </c>
      <c r="B22" s="67">
        <v>-10290</v>
      </c>
      <c r="C22" s="67">
        <v>-1653</v>
      </c>
      <c r="D22" s="67">
        <v>-1960</v>
      </c>
      <c r="E22" s="67">
        <v>-2448</v>
      </c>
      <c r="F22" s="67">
        <v>-2810</v>
      </c>
      <c r="G22" s="54"/>
    </row>
    <row r="23" spans="1:7" x14ac:dyDescent="0.55000000000000004">
      <c r="A23" s="49" t="s">
        <v>118</v>
      </c>
      <c r="B23" s="56">
        <v>-285</v>
      </c>
      <c r="C23" s="56">
        <v>-582</v>
      </c>
      <c r="D23" s="55">
        <v>-2928</v>
      </c>
      <c r="E23" s="56">
        <v>-869</v>
      </c>
      <c r="F23" s="55">
        <v>-4606</v>
      </c>
      <c r="G23" s="51"/>
    </row>
    <row r="24" spans="1:7" x14ac:dyDescent="0.55000000000000004">
      <c r="A24" s="49" t="s">
        <v>119</v>
      </c>
      <c r="B24" s="50">
        <v>5348</v>
      </c>
      <c r="C24" s="51">
        <v>15</v>
      </c>
      <c r="D24" s="51"/>
      <c r="E24" s="50">
        <v>6972</v>
      </c>
      <c r="F24" s="51"/>
      <c r="G24" s="51"/>
    </row>
    <row r="25" spans="1:7" x14ac:dyDescent="0.55000000000000004">
      <c r="A25" s="52" t="s">
        <v>120</v>
      </c>
      <c r="B25" s="53">
        <v>5063</v>
      </c>
      <c r="C25" s="61">
        <v>-567</v>
      </c>
      <c r="D25" s="67">
        <v>-2928</v>
      </c>
      <c r="E25" s="53">
        <v>6103</v>
      </c>
      <c r="F25" s="67">
        <v>-4606</v>
      </c>
      <c r="G25" s="54"/>
    </row>
    <row r="26" spans="1:7" x14ac:dyDescent="0.55000000000000004">
      <c r="A26" s="49" t="s">
        <v>121</v>
      </c>
      <c r="B26" s="50">
        <v>2065</v>
      </c>
      <c r="C26" s="51">
        <v>163</v>
      </c>
      <c r="D26" s="56">
        <v>-767</v>
      </c>
      <c r="E26" s="55">
        <v>-7650</v>
      </c>
      <c r="F26" s="50">
        <v>2372</v>
      </c>
      <c r="G26" s="51">
        <v>72</v>
      </c>
    </row>
    <row r="27" spans="1:7" x14ac:dyDescent="0.55000000000000004">
      <c r="A27" s="49" t="s">
        <v>122</v>
      </c>
      <c r="B27" s="56">
        <v>-286</v>
      </c>
      <c r="C27" s="55">
        <v>-8045</v>
      </c>
      <c r="D27" s="55">
        <v>-23935</v>
      </c>
      <c r="E27" s="56">
        <v>-104</v>
      </c>
      <c r="F27" s="55">
        <v>-3688</v>
      </c>
      <c r="G27" s="56">
        <v>-130</v>
      </c>
    </row>
    <row r="28" spans="1:7" x14ac:dyDescent="0.55000000000000004">
      <c r="A28" s="52" t="s">
        <v>123</v>
      </c>
      <c r="B28" s="67">
        <v>-3448</v>
      </c>
      <c r="C28" s="67">
        <v>-10102</v>
      </c>
      <c r="D28" s="67">
        <v>-29590</v>
      </c>
      <c r="E28" s="67">
        <v>-4099</v>
      </c>
      <c r="F28" s="67">
        <v>-8732</v>
      </c>
      <c r="G28" s="61">
        <v>-58</v>
      </c>
    </row>
    <row r="29" spans="1:7" x14ac:dyDescent="0.55000000000000004">
      <c r="A29" s="49" t="s">
        <v>124</v>
      </c>
      <c r="B29" s="50">
        <v>4242</v>
      </c>
      <c r="C29" s="50">
        <v>5258</v>
      </c>
      <c r="D29" s="50">
        <v>2084</v>
      </c>
      <c r="E29" s="50">
        <v>2903</v>
      </c>
      <c r="F29" s="50">
        <v>8630</v>
      </c>
      <c r="G29" s="50">
        <v>1088</v>
      </c>
    </row>
    <row r="30" spans="1:7" x14ac:dyDescent="0.55000000000000004">
      <c r="A30" s="52" t="s">
        <v>125</v>
      </c>
      <c r="B30" s="53">
        <v>4242</v>
      </c>
      <c r="C30" s="53">
        <v>5258</v>
      </c>
      <c r="D30" s="53">
        <v>2084</v>
      </c>
      <c r="E30" s="53">
        <v>2903</v>
      </c>
      <c r="F30" s="53">
        <v>8630</v>
      </c>
      <c r="G30" s="53">
        <v>1088</v>
      </c>
    </row>
    <row r="31" spans="1:7" x14ac:dyDescent="0.55000000000000004">
      <c r="A31" s="49" t="s">
        <v>126</v>
      </c>
      <c r="B31" s="55">
        <v>-6540</v>
      </c>
      <c r="C31" s="55">
        <v>-2503</v>
      </c>
      <c r="D31" s="55">
        <v>-2820</v>
      </c>
      <c r="E31" s="55">
        <v>-2394</v>
      </c>
      <c r="F31" s="55">
        <v>-3694</v>
      </c>
      <c r="G31" s="56">
        <v>-715</v>
      </c>
    </row>
    <row r="32" spans="1:7" x14ac:dyDescent="0.55000000000000004">
      <c r="A32" s="52" t="s">
        <v>127</v>
      </c>
      <c r="B32" s="67">
        <v>-6540</v>
      </c>
      <c r="C32" s="67">
        <v>-2503</v>
      </c>
      <c r="D32" s="67">
        <v>-2820</v>
      </c>
      <c r="E32" s="67">
        <v>-2394</v>
      </c>
      <c r="F32" s="67">
        <v>-3694</v>
      </c>
      <c r="G32" s="61">
        <v>-715</v>
      </c>
    </row>
    <row r="33" spans="1:7" x14ac:dyDescent="0.55000000000000004">
      <c r="A33" s="49" t="s">
        <v>128</v>
      </c>
      <c r="B33" s="56">
        <v>-419</v>
      </c>
      <c r="C33" s="51"/>
      <c r="D33" s="51">
        <v>12</v>
      </c>
      <c r="E33" s="51">
        <v>1</v>
      </c>
      <c r="F33" s="51">
        <v>4</v>
      </c>
      <c r="G33" s="51"/>
    </row>
    <row r="34" spans="1:7" x14ac:dyDescent="0.55000000000000004">
      <c r="A34" s="49" t="s">
        <v>129</v>
      </c>
      <c r="B34" s="56">
        <v>-207</v>
      </c>
      <c r="C34" s="56">
        <v>-28</v>
      </c>
      <c r="D34" s="51"/>
      <c r="E34" s="56">
        <v>-797</v>
      </c>
      <c r="F34" s="56">
        <v>-996</v>
      </c>
      <c r="G34" s="56">
        <v>-249</v>
      </c>
    </row>
    <row r="35" spans="1:7" x14ac:dyDescent="0.55000000000000004">
      <c r="A35" s="49" t="s">
        <v>130</v>
      </c>
      <c r="B35" s="51"/>
      <c r="C35" s="51"/>
      <c r="D35" s="51"/>
      <c r="E35" s="51"/>
      <c r="F35" s="51"/>
      <c r="G35" s="51"/>
    </row>
    <row r="36" spans="1:7" x14ac:dyDescent="0.55000000000000004">
      <c r="A36" s="49" t="s">
        <v>131</v>
      </c>
      <c r="B36" s="51"/>
      <c r="C36" s="51"/>
      <c r="D36" s="51"/>
      <c r="E36" s="51"/>
      <c r="F36" s="56">
        <v>-716</v>
      </c>
      <c r="G36" s="56">
        <v>-99</v>
      </c>
    </row>
    <row r="37" spans="1:7" x14ac:dyDescent="0.55000000000000004">
      <c r="A37" s="52" t="s">
        <v>132</v>
      </c>
      <c r="B37" s="67">
        <v>-2615</v>
      </c>
      <c r="C37" s="61">
        <v>-268</v>
      </c>
      <c r="D37" s="61">
        <v>-455</v>
      </c>
      <c r="E37" s="61">
        <v>-601</v>
      </c>
      <c r="F37" s="61">
        <v>-716</v>
      </c>
      <c r="G37" s="61">
        <v>-99</v>
      </c>
    </row>
    <row r="38" spans="1:7" x14ac:dyDescent="0.55000000000000004">
      <c r="A38" s="49" t="s">
        <v>133</v>
      </c>
      <c r="B38" s="51">
        <v>420</v>
      </c>
      <c r="C38" s="50">
        <v>9341</v>
      </c>
      <c r="D38" s="56">
        <v>-394</v>
      </c>
      <c r="E38" s="56">
        <v>-211</v>
      </c>
      <c r="F38" s="55">
        <v>-1117</v>
      </c>
      <c r="G38" s="51">
        <v>6</v>
      </c>
    </row>
    <row r="39" spans="1:7" x14ac:dyDescent="0.55000000000000004">
      <c r="A39" s="49" t="s">
        <v>134</v>
      </c>
      <c r="B39" s="56">
        <v>-316</v>
      </c>
      <c r="C39" s="55">
        <v>-1174</v>
      </c>
      <c r="D39" s="56">
        <v>-615</v>
      </c>
      <c r="E39" s="50">
        <v>3231</v>
      </c>
      <c r="F39" s="56">
        <v>-4</v>
      </c>
      <c r="G39" s="56">
        <v>-87</v>
      </c>
    </row>
    <row r="40" spans="1:7" x14ac:dyDescent="0.55000000000000004">
      <c r="A40" s="52" t="s">
        <v>135</v>
      </c>
      <c r="B40" s="67">
        <v>-5435</v>
      </c>
      <c r="C40" s="53">
        <v>10626</v>
      </c>
      <c r="D40" s="67">
        <v>-2188</v>
      </c>
      <c r="E40" s="53">
        <v>2132</v>
      </c>
      <c r="F40" s="53">
        <v>2107</v>
      </c>
      <c r="G40" s="61">
        <v>-56</v>
      </c>
    </row>
    <row r="41" spans="1:7" x14ac:dyDescent="0.55000000000000004">
      <c r="A41" s="49" t="s">
        <v>136</v>
      </c>
      <c r="B41" s="50">
        <v>2855</v>
      </c>
      <c r="C41" s="50">
        <v>14585</v>
      </c>
      <c r="D41" s="55">
        <v>-27601</v>
      </c>
      <c r="E41" s="50">
        <v>2951</v>
      </c>
      <c r="F41" s="55">
        <v>-2593</v>
      </c>
      <c r="G41" s="56">
        <v>-67</v>
      </c>
    </row>
    <row r="42" spans="1:7" x14ac:dyDescent="0.55000000000000004">
      <c r="A42" s="49" t="s">
        <v>137</v>
      </c>
      <c r="B42" s="51">
        <v>242</v>
      </c>
      <c r="C42" s="55">
        <v>-1949</v>
      </c>
      <c r="D42" s="51">
        <v>502</v>
      </c>
      <c r="E42" s="51">
        <v>137</v>
      </c>
      <c r="F42" s="56">
        <v>-306</v>
      </c>
      <c r="G42" s="51">
        <v>21</v>
      </c>
    </row>
    <row r="43" spans="1:7" x14ac:dyDescent="0.55000000000000004">
      <c r="A43" s="49" t="s">
        <v>138</v>
      </c>
      <c r="B43" s="50">
        <v>19136</v>
      </c>
      <c r="C43" s="50">
        <v>22935</v>
      </c>
      <c r="D43" s="50">
        <v>35588</v>
      </c>
      <c r="E43" s="50">
        <v>8489</v>
      </c>
      <c r="F43" s="50">
        <v>11577</v>
      </c>
      <c r="G43" s="50">
        <v>8678</v>
      </c>
    </row>
    <row r="44" spans="1:7" x14ac:dyDescent="0.55000000000000004">
      <c r="A44" s="49" t="s">
        <v>139</v>
      </c>
      <c r="B44" s="50">
        <v>22935</v>
      </c>
      <c r="C44" s="50">
        <v>35561</v>
      </c>
      <c r="D44" s="50">
        <v>7905</v>
      </c>
      <c r="E44" s="50">
        <v>11577</v>
      </c>
      <c r="F44" s="50">
        <v>8678</v>
      </c>
      <c r="G44" s="51">
        <v>169</v>
      </c>
    </row>
    <row r="45" spans="1:7" x14ac:dyDescent="0.55000000000000004">
      <c r="A45" s="68" t="s">
        <v>33</v>
      </c>
      <c r="B45" s="48"/>
      <c r="C45" s="48"/>
      <c r="D45" s="48"/>
      <c r="E45" s="48"/>
      <c r="F45" s="48"/>
      <c r="G45" s="48"/>
    </row>
    <row r="46" spans="1:7" x14ac:dyDescent="0.55000000000000004">
      <c r="A46" s="52" t="s">
        <v>140</v>
      </c>
      <c r="B46" s="53">
        <v>1448</v>
      </c>
      <c r="C46" s="53">
        <v>12408</v>
      </c>
      <c r="D46" s="53">
        <v>2217</v>
      </c>
      <c r="E46" s="53">
        <v>2470</v>
      </c>
      <c r="F46" s="53">
        <v>1222</v>
      </c>
      <c r="G46" s="54">
        <v>47</v>
      </c>
    </row>
    <row r="47" spans="1:7" x14ac:dyDescent="0.55000000000000004">
      <c r="A47" s="68" t="s">
        <v>1</v>
      </c>
      <c r="B47" s="69">
        <v>-0.748</v>
      </c>
      <c r="C47" s="70">
        <v>7.569</v>
      </c>
      <c r="D47" s="69">
        <v>-0.82099999999999995</v>
      </c>
      <c r="E47" s="70">
        <v>0.114</v>
      </c>
      <c r="F47" s="69">
        <v>-0.505</v>
      </c>
      <c r="G47" s="69">
        <v>-0.96199999999999997</v>
      </c>
    </row>
    <row r="48" spans="1:7" x14ac:dyDescent="0.55000000000000004">
      <c r="A48" s="68" t="s">
        <v>141</v>
      </c>
      <c r="B48" s="70">
        <v>0.01</v>
      </c>
      <c r="C48" s="70">
        <v>0.46300000000000002</v>
      </c>
      <c r="D48" s="70">
        <v>6.6000000000000003E-2</v>
      </c>
      <c r="E48" s="70">
        <v>5.8999999999999997E-2</v>
      </c>
      <c r="F48" s="70">
        <v>2.5000000000000001E-2</v>
      </c>
      <c r="G48" s="70">
        <v>3.0000000000000001E-3</v>
      </c>
    </row>
    <row r="49" spans="1:7" x14ac:dyDescent="0.55000000000000004">
      <c r="A49" s="49" t="s">
        <v>142</v>
      </c>
      <c r="B49" s="50">
        <v>3097</v>
      </c>
      <c r="C49" s="50">
        <v>12636</v>
      </c>
      <c r="D49" s="55">
        <v>-27099</v>
      </c>
      <c r="E49" s="50">
        <v>3088</v>
      </c>
      <c r="F49" s="55">
        <v>-2899</v>
      </c>
      <c r="G49" s="56">
        <v>-46</v>
      </c>
    </row>
    <row r="50" spans="1:7" x14ac:dyDescent="0.55000000000000004">
      <c r="A50" s="49" t="s">
        <v>143</v>
      </c>
      <c r="B50" s="50">
        <v>10477</v>
      </c>
      <c r="C50" s="50">
        <v>12480</v>
      </c>
      <c r="D50" s="50">
        <v>5304</v>
      </c>
      <c r="E50" s="50">
        <v>5645</v>
      </c>
      <c r="F50" s="50">
        <v>5808</v>
      </c>
      <c r="G50" s="56">
        <v>-22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NAV</vt:lpstr>
      <vt:lpstr>NAV History</vt:lpstr>
      <vt:lpstr>Income Statement</vt:lpstr>
      <vt:lpstr>Balance Sheet</vt:lpstr>
      <vt:lpstr>Cash Flow Statement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Vedansh Rawat</dc:creator>
  <cp:lastModifiedBy>Sampanna Raut</cp:lastModifiedBy>
  <dcterms:created xsi:type="dcterms:W3CDTF">2026-01-18T01:31:21Z</dcterms:created>
  <dcterms:modified xsi:type="dcterms:W3CDTF">2026-01-30T12:48:18Z</dcterms:modified>
</cp:coreProperties>
</file>